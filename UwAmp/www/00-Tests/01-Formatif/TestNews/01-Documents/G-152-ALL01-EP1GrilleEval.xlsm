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activeX/activeX1.bin" ContentType="application/vnd.ms-office.activeX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INF\Maitres-Seul\Enseignement\ModulesICT_NewOrdo\152-WebMultimedia\c-Evaluation\EP1\"/>
    </mc:Choice>
  </mc:AlternateContent>
  <bookViews>
    <workbookView xWindow="0" yWindow="0" windowWidth="28800" windowHeight="14100" tabRatio="621" firstSheet="1" activeTab="2"/>
  </bookViews>
  <sheets>
    <sheet name="Intro" sheetId="35" r:id="rId1"/>
    <sheet name="Objectif1" sheetId="39" r:id="rId2"/>
    <sheet name="Objectif2" sheetId="33" r:id="rId3"/>
    <sheet name="Grille" sheetId="38" r:id="rId4"/>
  </sheets>
  <calcPr calcId="162913"/>
</workbook>
</file>

<file path=xl/calcChain.xml><?xml version="1.0" encoding="utf-8"?>
<calcChain xmlns="http://schemas.openxmlformats.org/spreadsheetml/2006/main">
  <c r="D2" i="38" l="1"/>
  <c r="C19" i="38"/>
  <c r="A18" i="38"/>
  <c r="B18" i="38"/>
  <c r="E18" i="38"/>
  <c r="A10" i="38" l="1"/>
  <c r="B10" i="38"/>
  <c r="E10" i="38"/>
  <c r="A11" i="38"/>
  <c r="B11" i="38"/>
  <c r="E11" i="38"/>
  <c r="A12" i="38"/>
  <c r="B12" i="38"/>
  <c r="E12" i="38"/>
  <c r="A13" i="38"/>
  <c r="B13" i="38"/>
  <c r="E13" i="38"/>
  <c r="A14" i="38"/>
  <c r="B14" i="38"/>
  <c r="E14" i="38"/>
  <c r="A15" i="38"/>
  <c r="B15" i="38"/>
  <c r="E15" i="38"/>
  <c r="A16" i="38"/>
  <c r="B16" i="38"/>
  <c r="E16" i="38"/>
  <c r="A17" i="38"/>
  <c r="B17" i="38"/>
  <c r="E17" i="38"/>
  <c r="E4" i="38" l="1"/>
  <c r="E5" i="38"/>
  <c r="E6" i="38"/>
  <c r="B4" i="38"/>
  <c r="B5" i="38"/>
  <c r="B6" i="38"/>
  <c r="D3" i="38"/>
  <c r="B3" i="38"/>
  <c r="A4" i="38"/>
  <c r="A5" i="38"/>
  <c r="A6" i="38"/>
  <c r="A3" i="38"/>
  <c r="C7" i="38" l="1"/>
  <c r="B7" i="38"/>
  <c r="D7" i="38" l="1"/>
  <c r="E9" i="38" l="1"/>
  <c r="B9" i="38"/>
  <c r="A9" i="38"/>
  <c r="D8" i="38"/>
  <c r="B8" i="38"/>
  <c r="A8" i="38"/>
  <c r="B19" i="38" l="1"/>
  <c r="D13" i="35"/>
  <c r="D11" i="35"/>
  <c r="D9" i="35"/>
  <c r="D7" i="35"/>
  <c r="D8" i="35"/>
  <c r="D10" i="35"/>
  <c r="D12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19" i="38" l="1"/>
  <c r="D6" i="35"/>
  <c r="D30" i="35" s="1"/>
  <c r="C30" i="35"/>
</calcChain>
</file>

<file path=xl/comments1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2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sharedStrings.xml><?xml version="1.0" encoding="utf-8"?>
<sst xmlns="http://schemas.openxmlformats.org/spreadsheetml/2006/main" count="139" uniqueCount="76">
  <si>
    <t>Obtenus</t>
  </si>
  <si>
    <t>POINTS</t>
  </si>
  <si>
    <t>Produit</t>
  </si>
  <si>
    <t>Taxonomie</t>
  </si>
  <si>
    <t>Révélateurs</t>
  </si>
  <si>
    <t>Tout est conforme</t>
  </si>
  <si>
    <t>Indicateurs</t>
  </si>
  <si>
    <t>Objectif</t>
  </si>
  <si>
    <t xml:space="preserve">Critère 4
0pt : Inacceptable si </t>
  </si>
  <si>
    <t>Critère 1
3pts : Parfait si</t>
  </si>
  <si>
    <t>Critère 2
2pts : Suffisant si</t>
  </si>
  <si>
    <t>Critère 3
1pt : Insuffisant si</t>
  </si>
  <si>
    <t>Il est possible de comprendre le code uniquement en lisant les commentaires</t>
  </si>
  <si>
    <t>Quelques commentaires sont trop vagues, mais la compréhension est là</t>
  </si>
  <si>
    <t>Les commentaires sont trop vagues pour comprendre le code, il est nécessaire d'aller le lire pour le comprendre</t>
  </si>
  <si>
    <t>Commentaires incompréhensible, trop proche du code n'apportent rien</t>
  </si>
  <si>
    <t>Les commentaires apportent une plus value à l'explication du comportement du code. Il ne sont pas semblables au code lui-même</t>
  </si>
  <si>
    <t>-</t>
  </si>
  <si>
    <t>Poids</t>
  </si>
  <si>
    <r>
      <t xml:space="preserve">Comportements
</t>
    </r>
    <r>
      <rPr>
        <sz val="10"/>
        <rFont val="Comic Sans MS"/>
        <family val="4"/>
      </rPr>
      <t>l'élève ...</t>
    </r>
  </si>
  <si>
    <t>Nom</t>
  </si>
  <si>
    <t>Prénom</t>
  </si>
  <si>
    <t>Insère des commentaires de qualité</t>
  </si>
  <si>
    <t>points max / points obtenus / note</t>
  </si>
  <si>
    <t>Note</t>
  </si>
  <si>
    <t>Note au 5/10</t>
  </si>
  <si>
    <t>Liste des candidats</t>
  </si>
  <si>
    <t>Selon la donnée</t>
  </si>
  <si>
    <t>Les commentaires expliquent en l'intention du programme</t>
  </si>
  <si>
    <t>2 erreurs</t>
  </si>
  <si>
    <t>Plus de 2 erreurs</t>
  </si>
  <si>
    <t>1 erreur</t>
  </si>
  <si>
    <t>Selon les normes ETML (entête de fichier, de méthode)</t>
  </si>
  <si>
    <t>En ordre</t>
  </si>
  <si>
    <t>Variables, nom de fonction</t>
  </si>
  <si>
    <t>Norme ETML</t>
  </si>
  <si>
    <t>Respecte les normes ETML</t>
  </si>
  <si>
    <t>Pas respecté</t>
  </si>
  <si>
    <t>Commentaires Entête</t>
  </si>
  <si>
    <t>Respect des règles / Commentaires</t>
  </si>
  <si>
    <t>Pas fait ou + de 2 erreurs</t>
  </si>
  <si>
    <t>Module 152 - Les contenus multimédias</t>
  </si>
  <si>
    <t>Applique</t>
  </si>
  <si>
    <t>Titre de l'onglet, titre du site et sous-titre</t>
  </si>
  <si>
    <t>&lt;title&gt;, &lt;h1&gt;, &lt;h4&gt; -&gt; les textes sont identiques</t>
  </si>
  <si>
    <t>Les titres sont identiques</t>
  </si>
  <si>
    <t>Header et les titres sont le bon style</t>
  </si>
  <si>
    <t>header en #444, taille par défaut, h1 small-caps, h4 italique, couleur blanc</t>
  </si>
  <si>
    <t>Footer</t>
  </si>
  <si>
    <t>Couleur de fond, Titre de l'onglet, titre du site et sous-titre</t>
  </si>
  <si>
    <t>Couleur de fond, texte</t>
  </si>
  <si>
    <t>#444, color, taille 12px</t>
  </si>
  <si>
    <t>Article : titre, fond</t>
  </si>
  <si>
    <t>Article : image</t>
  </si>
  <si>
    <t>Bordure #444 1px solid, espace 5px entre image et texte, position selon copie d'écran</t>
  </si>
  <si>
    <t>titre h3 blanc, fond #444, espace 10px. Fond article #eee, espace 0, 10, 10, 10, position selon copie d'écran, le texte passe sous la photo quand il est grand</t>
  </si>
  <si>
    <t>Article : source</t>
  </si>
  <si>
    <t>Position selon copie d'écran, text-decoration: none; color:#444, lien fonctionnel sur nouvel onglet</t>
  </si>
  <si>
    <t>Image : clic</t>
  </si>
  <si>
    <t>On peut cliquer sur l'image</t>
  </si>
  <si>
    <t>L'image apparait en grand dans la lightbox fournie, avec le titre de l'article et un bouton pour fermer la fenêtre.</t>
  </si>
  <si>
    <t>Comprend</t>
  </si>
  <si>
    <t>Scrolling</t>
  </si>
  <si>
    <t>le scrolling ajoute 2 articles</t>
  </si>
  <si>
    <t>Quand on arrive en bas de page, 2 articles sont ajoutés, c'est dynamique, autant d'articles qu'il y en a dans la bd.</t>
  </si>
  <si>
    <t>Images</t>
  </si>
  <si>
    <t>Retravailler les images</t>
  </si>
  <si>
    <t>Elles sont dans le bon format et la bonne taille.</t>
  </si>
  <si>
    <t>Pas fait ou + de 1 erreur</t>
  </si>
  <si>
    <t>100% identique</t>
  </si>
  <si>
    <t>Le site fournit est à l'identique de la copie d'écran</t>
  </si>
  <si>
    <t>comparer la copie d'écran et le site</t>
  </si>
  <si>
    <t>1-2 erreurs</t>
  </si>
  <si>
    <t>3-4 erreurs</t>
  </si>
  <si>
    <t>Pas fait ou + de 4 erreurs</t>
  </si>
  <si>
    <t>Reproduire la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</si>
</sst>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0"/>
      <name val="Arial"/>
    </font>
    <font>
      <sz val="8"/>
      <name val="Comic Sans MS"/>
      <family val="4"/>
    </font>
    <font>
      <sz val="9"/>
      <name val="Comic Sans MS"/>
      <family val="4"/>
    </font>
    <font>
      <b/>
      <sz val="9"/>
      <name val="Comic Sans MS"/>
      <family val="4"/>
    </font>
    <font>
      <i/>
      <sz val="9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i/>
      <sz val="10"/>
      <color rgb="FFFF0000"/>
      <name val="Arial"/>
      <family val="2"/>
    </font>
    <font>
      <b/>
      <sz val="10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omic Sans MS"/>
      <family val="4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3">
    <xf numFmtId="0" fontId="0" fillId="0" borderId="0"/>
    <xf numFmtId="0" fontId="8" fillId="0" borderId="0"/>
    <xf numFmtId="0" fontId="22" fillId="0" borderId="0"/>
  </cellStyleXfs>
  <cellXfs count="82">
    <xf numFmtId="0" fontId="0" fillId="0" borderId="0" xfId="0"/>
    <xf numFmtId="0" fontId="2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0" borderId="2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5" fillId="0" borderId="0" xfId="0" applyFont="1" applyAlignment="1" applyProtection="1">
      <alignment vertical="center" wrapText="1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center" wrapText="1"/>
    </xf>
    <xf numFmtId="0" fontId="3" fillId="0" borderId="0" xfId="0" applyFont="1" applyBorder="1" applyAlignment="1" applyProtection="1">
      <alignment vertical="center"/>
    </xf>
    <xf numFmtId="0" fontId="6" fillId="0" borderId="0" xfId="0" applyFont="1" applyAlignment="1" applyProtection="1">
      <alignment vertical="center" wrapText="1"/>
    </xf>
    <xf numFmtId="0" fontId="6" fillId="0" borderId="0" xfId="0" applyFont="1" applyAlignment="1" applyProtection="1">
      <alignment vertical="center"/>
    </xf>
    <xf numFmtId="0" fontId="3" fillId="2" borderId="0" xfId="0" applyFont="1" applyFill="1" applyAlignment="1" applyProtection="1">
      <alignment vertical="center"/>
    </xf>
    <xf numFmtId="0" fontId="4" fillId="2" borderId="0" xfId="0" applyFont="1" applyFill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0" fontId="5" fillId="2" borderId="0" xfId="0" applyFont="1" applyFill="1" applyAlignment="1" applyProtection="1">
      <alignment vertical="center" wrapText="1"/>
    </xf>
    <xf numFmtId="0" fontId="5" fillId="2" borderId="0" xfId="0" applyFont="1" applyFill="1" applyAlignment="1" applyProtection="1">
      <alignment vertical="center"/>
    </xf>
    <xf numFmtId="0" fontId="1" fillId="2" borderId="0" xfId="0" applyFont="1" applyFill="1" applyAlignment="1" applyProtection="1">
      <alignment vertical="center"/>
    </xf>
    <xf numFmtId="0" fontId="11" fillId="0" borderId="0" xfId="0" applyFont="1" applyAlignment="1">
      <alignment wrapText="1"/>
    </xf>
    <xf numFmtId="0" fontId="6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center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 applyProtection="1">
      <alignment vertical="center" wrapText="1"/>
    </xf>
    <xf numFmtId="0" fontId="0" fillId="5" borderId="0" xfId="0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vertical="center" wrapText="1"/>
    </xf>
    <xf numFmtId="0" fontId="1" fillId="5" borderId="0" xfId="0" applyFont="1" applyFill="1" applyAlignment="1" applyProtection="1">
      <alignment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vertical="center" wrapText="1"/>
    </xf>
    <xf numFmtId="0" fontId="1" fillId="0" borderId="0" xfId="0" applyFont="1" applyFill="1" applyAlignment="1" applyProtection="1">
      <alignment vertical="center" wrapText="1"/>
    </xf>
    <xf numFmtId="0" fontId="1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>
      <alignment vertical="center" wrapText="1"/>
    </xf>
    <xf numFmtId="0" fontId="12" fillId="0" borderId="0" xfId="0" applyFont="1" applyFill="1" applyAlignment="1">
      <alignment vertical="top" wrapText="1"/>
    </xf>
    <xf numFmtId="0" fontId="4" fillId="2" borderId="8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vertical="center"/>
    </xf>
    <xf numFmtId="0" fontId="12" fillId="0" borderId="8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6" borderId="0" xfId="0" applyFont="1" applyFill="1" applyAlignment="1">
      <alignment vertical="top" wrapText="1"/>
    </xf>
    <xf numFmtId="2" fontId="0" fillId="6" borderId="0" xfId="0" applyNumberFormat="1" applyFill="1" applyAlignment="1">
      <alignment horizontal="left"/>
    </xf>
    <xf numFmtId="0" fontId="12" fillId="6" borderId="8" xfId="0" applyFont="1" applyFill="1" applyBorder="1" applyAlignment="1">
      <alignment horizontal="center" vertical="top" wrapText="1"/>
    </xf>
    <xf numFmtId="0" fontId="13" fillId="6" borderId="0" xfId="0" applyFont="1" applyFill="1" applyAlignment="1">
      <alignment horizontal="right" vertical="center" wrapText="1"/>
    </xf>
    <xf numFmtId="2" fontId="14" fillId="7" borderId="5" xfId="0" applyNumberFormat="1" applyFont="1" applyFill="1" applyBorder="1" applyAlignment="1">
      <alignment horizontal="center" vertical="center"/>
    </xf>
    <xf numFmtId="0" fontId="0" fillId="0" borderId="8" xfId="0" applyFill="1" applyBorder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vertical="center" wrapText="1"/>
    </xf>
    <xf numFmtId="0" fontId="17" fillId="3" borderId="0" xfId="0" applyFont="1" applyFill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9" fillId="3" borderId="0" xfId="0" applyFont="1" applyFill="1" applyAlignment="1" applyProtection="1">
      <alignment vertical="center"/>
    </xf>
    <xf numFmtId="0" fontId="17" fillId="0" borderId="0" xfId="0" applyFont="1" applyFill="1" applyBorder="1" applyAlignment="1" applyProtection="1">
      <alignment horizontal="center" vertical="center" wrapText="1"/>
    </xf>
    <xf numFmtId="0" fontId="20" fillId="9" borderId="0" xfId="0" applyFont="1" applyFill="1" applyAlignment="1" applyProtection="1">
      <alignment horizontal="center" vertical="center"/>
    </xf>
    <xf numFmtId="0" fontId="17" fillId="0" borderId="0" xfId="0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horizontal="center" vertical="center"/>
    </xf>
    <xf numFmtId="2" fontId="16" fillId="0" borderId="0" xfId="0" applyNumberFormat="1" applyFont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vertical="center"/>
    </xf>
    <xf numFmtId="0" fontId="17" fillId="0" borderId="0" xfId="0" applyFont="1" applyAlignment="1" applyProtection="1">
      <alignment vertical="center" wrapText="1"/>
    </xf>
    <xf numFmtId="0" fontId="20" fillId="4" borderId="0" xfId="0" applyFont="1" applyFill="1" applyAlignment="1" applyProtection="1">
      <alignment vertical="center"/>
    </xf>
    <xf numFmtId="0" fontId="20" fillId="8" borderId="0" xfId="0" applyFont="1" applyFill="1" applyAlignment="1" applyProtection="1">
      <alignment horizontal="center" vertical="center"/>
    </xf>
    <xf numFmtId="0" fontId="20" fillId="3" borderId="0" xfId="0" applyFont="1" applyFill="1" applyAlignment="1" applyProtection="1">
      <alignment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vertical="center"/>
    </xf>
    <xf numFmtId="0" fontId="16" fillId="4" borderId="0" xfId="0" applyFont="1" applyFill="1" applyAlignment="1" applyProtection="1">
      <alignment vertical="center"/>
      <protection locked="0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</xf>
    <xf numFmtId="2" fontId="16" fillId="8" borderId="0" xfId="0" applyNumberFormat="1" applyFont="1" applyFill="1" applyBorder="1" applyAlignment="1" applyProtection="1">
      <alignment horizontal="center" vertical="center" wrapText="1"/>
    </xf>
    <xf numFmtId="164" fontId="15" fillId="9" borderId="0" xfId="0" applyNumberFormat="1" applyFont="1" applyFill="1" applyAlignment="1" applyProtection="1">
      <alignment horizontal="center" vertical="center"/>
    </xf>
    <xf numFmtId="0" fontId="21" fillId="0" borderId="1" xfId="0" applyFont="1" applyBorder="1" applyAlignment="1" applyProtection="1">
      <alignment vertical="center"/>
    </xf>
    <xf numFmtId="2" fontId="16" fillId="8" borderId="0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center"/>
    </xf>
    <xf numFmtId="0" fontId="1" fillId="5" borderId="0" xfId="0" quotePrefix="1" applyFont="1" applyFill="1" applyAlignment="1" applyProtection="1">
      <alignment vertical="center" wrapText="1"/>
    </xf>
    <xf numFmtId="0" fontId="4" fillId="2" borderId="0" xfId="0" applyFont="1" applyFill="1" applyBorder="1" applyAlignment="1" applyProtection="1">
      <alignment vertical="center" wrapText="1"/>
    </xf>
    <xf numFmtId="0" fontId="1" fillId="0" borderId="0" xfId="0" quotePrefix="1" applyFont="1" applyFill="1" applyAlignment="1" applyProtection="1">
      <alignment vertical="center" wrapText="1"/>
    </xf>
    <xf numFmtId="0" fontId="1" fillId="0" borderId="0" xfId="0" applyFont="1" applyFill="1" applyAlignment="1" applyProtection="1">
      <alignment vertical="center"/>
    </xf>
    <xf numFmtId="0" fontId="0" fillId="5" borderId="0" xfId="0" applyFill="1" applyAlignment="1">
      <alignment vertical="center" wrapText="1"/>
    </xf>
    <xf numFmtId="0" fontId="12" fillId="5" borderId="8" xfId="0" applyFont="1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top" wrapText="1"/>
    </xf>
    <xf numFmtId="0" fontId="7" fillId="0" borderId="6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28575</xdr:rowOff>
        </xdr:from>
        <xdr:to>
          <xdr:col>5</xdr:col>
          <xdr:colOff>0</xdr:colOff>
          <xdr:row>6</xdr:row>
          <xdr:rowOff>133350</xdr:rowOff>
        </xdr:to>
        <xdr:sp macro="" textlink="">
          <xdr:nvSpPr>
            <xdr:cNvPr id="6147" name="btnGenerationStudent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E30"/>
  <sheetViews>
    <sheetView zoomScale="130" zoomScaleNormal="130" workbookViewId="0">
      <selection activeCell="B3" sqref="B3"/>
    </sheetView>
  </sheetViews>
  <sheetFormatPr baseColWidth="10" defaultColWidth="11.42578125" defaultRowHeight="12.75" x14ac:dyDescent="0.2"/>
  <cols>
    <col min="1" max="1" width="25.7109375" style="53" customWidth="1"/>
    <col min="2" max="2" width="25.7109375" style="54" customWidth="1"/>
    <col min="3" max="3" width="16.28515625" style="56" customWidth="1"/>
    <col min="4" max="4" width="25.7109375" style="57" customWidth="1"/>
    <col min="5" max="5" width="25.7109375" style="52" customWidth="1"/>
    <col min="6" max="16384" width="11.42578125" style="48"/>
  </cols>
  <sheetData>
    <row r="1" spans="1:5" s="52" customFormat="1" x14ac:dyDescent="0.2">
      <c r="A1" s="60" t="s">
        <v>41</v>
      </c>
      <c r="B1" s="61"/>
      <c r="C1" s="62"/>
      <c r="D1" s="46"/>
      <c r="E1" s="47"/>
    </row>
    <row r="2" spans="1:5" s="52" customFormat="1" x14ac:dyDescent="0.2">
      <c r="A2" s="49"/>
      <c r="B2" s="61"/>
      <c r="C2" s="62"/>
      <c r="D2" s="47"/>
      <c r="E2" s="47"/>
    </row>
    <row r="3" spans="1:5" x14ac:dyDescent="0.2">
      <c r="A3" s="48"/>
      <c r="B3" s="48"/>
      <c r="C3" s="50"/>
      <c r="D3" s="48"/>
      <c r="E3" s="48"/>
    </row>
    <row r="4" spans="1:5" x14ac:dyDescent="0.2">
      <c r="A4" s="66" t="s">
        <v>26</v>
      </c>
      <c r="B4" s="48"/>
      <c r="C4" s="50"/>
      <c r="D4" s="48"/>
      <c r="E4" s="48"/>
    </row>
    <row r="5" spans="1:5" s="52" customFormat="1" x14ac:dyDescent="0.2">
      <c r="A5" s="58" t="s">
        <v>21</v>
      </c>
      <c r="B5" s="58" t="s">
        <v>20</v>
      </c>
      <c r="C5" s="59" t="s">
        <v>24</v>
      </c>
      <c r="D5" s="51" t="s">
        <v>25</v>
      </c>
    </row>
    <row r="6" spans="1:5" s="53" customFormat="1" ht="12" x14ac:dyDescent="0.2">
      <c r="A6" s="63"/>
      <c r="B6" s="63"/>
      <c r="C6" s="67"/>
      <c r="D6" s="68" t="str">
        <f>IF(C6&lt;&gt;"",ROUND(C6*2,0)/2,"")</f>
        <v/>
      </c>
    </row>
    <row r="7" spans="1:5" s="53" customFormat="1" ht="12" x14ac:dyDescent="0.2">
      <c r="A7" s="63"/>
      <c r="B7" s="63"/>
      <c r="C7" s="67"/>
      <c r="D7" s="68" t="str">
        <f t="shared" ref="D7:D29" si="0">IF(C7&lt;&gt;"",ROUND(C7*2,0)/2,"")</f>
        <v/>
      </c>
    </row>
    <row r="8" spans="1:5" s="53" customFormat="1" ht="12" x14ac:dyDescent="0.2">
      <c r="A8" s="63"/>
      <c r="B8" s="65"/>
      <c r="C8" s="67"/>
      <c r="D8" s="68" t="str">
        <f t="shared" si="0"/>
        <v/>
      </c>
    </row>
    <row r="9" spans="1:5" s="53" customFormat="1" ht="12" x14ac:dyDescent="0.2">
      <c r="A9" s="63"/>
      <c r="B9" s="65"/>
      <c r="C9" s="67"/>
      <c r="D9" s="68" t="str">
        <f t="shared" si="0"/>
        <v/>
      </c>
    </row>
    <row r="10" spans="1:5" s="53" customFormat="1" ht="12" x14ac:dyDescent="0.2">
      <c r="A10" s="63"/>
      <c r="B10" s="65"/>
      <c r="C10" s="67"/>
      <c r="D10" s="68" t="str">
        <f t="shared" si="0"/>
        <v/>
      </c>
    </row>
    <row r="11" spans="1:5" s="53" customFormat="1" ht="12" x14ac:dyDescent="0.2">
      <c r="A11" s="63"/>
      <c r="B11" s="65"/>
      <c r="C11" s="67"/>
      <c r="D11" s="68" t="str">
        <f t="shared" si="0"/>
        <v/>
      </c>
    </row>
    <row r="12" spans="1:5" s="53" customFormat="1" ht="12" x14ac:dyDescent="0.2">
      <c r="A12" s="63"/>
      <c r="B12" s="63"/>
      <c r="C12" s="70"/>
      <c r="D12" s="68" t="str">
        <f t="shared" si="0"/>
        <v/>
      </c>
    </row>
    <row r="13" spans="1:5" s="53" customFormat="1" ht="12" x14ac:dyDescent="0.2">
      <c r="A13" s="63"/>
      <c r="B13" s="65"/>
      <c r="C13" s="70"/>
      <c r="D13" s="68" t="str">
        <f t="shared" si="0"/>
        <v/>
      </c>
    </row>
    <row r="14" spans="1:5" s="53" customFormat="1" ht="12" x14ac:dyDescent="0.2">
      <c r="A14" s="63"/>
      <c r="B14" s="63"/>
      <c r="C14" s="70"/>
      <c r="D14" s="68" t="str">
        <f t="shared" si="0"/>
        <v/>
      </c>
    </row>
    <row r="15" spans="1:5" s="53" customFormat="1" ht="12" x14ac:dyDescent="0.2">
      <c r="A15" s="63"/>
      <c r="B15" s="65"/>
      <c r="C15" s="70"/>
      <c r="D15" s="68" t="str">
        <f t="shared" si="0"/>
        <v/>
      </c>
    </row>
    <row r="16" spans="1:5" s="53" customFormat="1" ht="12" x14ac:dyDescent="0.2">
      <c r="A16" s="63"/>
      <c r="B16" s="63"/>
      <c r="C16" s="70"/>
      <c r="D16" s="68" t="str">
        <f t="shared" si="0"/>
        <v/>
      </c>
    </row>
    <row r="17" spans="1:4" s="53" customFormat="1" ht="12" x14ac:dyDescent="0.2">
      <c r="A17" s="63"/>
      <c r="B17" s="65"/>
      <c r="C17" s="70"/>
      <c r="D17" s="68" t="str">
        <f t="shared" si="0"/>
        <v/>
      </c>
    </row>
    <row r="18" spans="1:4" s="53" customFormat="1" ht="12" x14ac:dyDescent="0.2">
      <c r="A18" s="63"/>
      <c r="B18" s="65"/>
      <c r="C18" s="70"/>
      <c r="D18" s="68" t="str">
        <f t="shared" si="0"/>
        <v/>
      </c>
    </row>
    <row r="19" spans="1:4" s="53" customFormat="1" ht="12" x14ac:dyDescent="0.2">
      <c r="A19" s="63"/>
      <c r="B19" s="65"/>
      <c r="C19" s="70"/>
      <c r="D19" s="68" t="str">
        <f t="shared" si="0"/>
        <v/>
      </c>
    </row>
    <row r="20" spans="1:4" s="53" customFormat="1" ht="12" x14ac:dyDescent="0.2">
      <c r="A20" s="63"/>
      <c r="B20" s="65"/>
      <c r="C20" s="70"/>
      <c r="D20" s="68" t="str">
        <f t="shared" si="0"/>
        <v/>
      </c>
    </row>
    <row r="21" spans="1:4" s="53" customFormat="1" ht="12" x14ac:dyDescent="0.2">
      <c r="A21" s="63"/>
      <c r="B21" s="65"/>
      <c r="C21" s="70"/>
      <c r="D21" s="68" t="str">
        <f t="shared" si="0"/>
        <v/>
      </c>
    </row>
    <row r="22" spans="1:4" s="53" customFormat="1" ht="12" x14ac:dyDescent="0.2">
      <c r="A22" s="63"/>
      <c r="B22" s="65"/>
      <c r="C22" s="70"/>
      <c r="D22" s="68" t="str">
        <f t="shared" si="0"/>
        <v/>
      </c>
    </row>
    <row r="23" spans="1:4" s="53" customFormat="1" ht="12" x14ac:dyDescent="0.2">
      <c r="A23" s="63"/>
      <c r="B23" s="65"/>
      <c r="C23" s="70"/>
      <c r="D23" s="68" t="str">
        <f t="shared" si="0"/>
        <v/>
      </c>
    </row>
    <row r="24" spans="1:4" s="53" customFormat="1" ht="12" x14ac:dyDescent="0.2">
      <c r="A24" s="63"/>
      <c r="B24" s="65"/>
      <c r="C24" s="70"/>
      <c r="D24" s="68" t="str">
        <f t="shared" si="0"/>
        <v/>
      </c>
    </row>
    <row r="25" spans="1:4" s="53" customFormat="1" ht="12" x14ac:dyDescent="0.2">
      <c r="A25" s="63"/>
      <c r="B25" s="65"/>
      <c r="C25" s="70"/>
      <c r="D25" s="68" t="str">
        <f t="shared" si="0"/>
        <v/>
      </c>
    </row>
    <row r="26" spans="1:4" s="53" customFormat="1" ht="12" x14ac:dyDescent="0.2">
      <c r="A26" s="63"/>
      <c r="B26" s="65"/>
      <c r="C26" s="70"/>
      <c r="D26" s="68" t="str">
        <f t="shared" si="0"/>
        <v/>
      </c>
    </row>
    <row r="27" spans="1:4" s="53" customFormat="1" ht="12" x14ac:dyDescent="0.2">
      <c r="A27" s="63"/>
      <c r="B27" s="65"/>
      <c r="C27" s="70"/>
      <c r="D27" s="68" t="str">
        <f t="shared" si="0"/>
        <v/>
      </c>
    </row>
    <row r="28" spans="1:4" s="53" customFormat="1" ht="12" x14ac:dyDescent="0.2">
      <c r="A28" s="63"/>
      <c r="B28" s="64"/>
      <c r="C28" s="71"/>
      <c r="D28" s="68" t="str">
        <f t="shared" si="0"/>
        <v/>
      </c>
    </row>
    <row r="29" spans="1:4" s="53" customFormat="1" ht="12" x14ac:dyDescent="0.2">
      <c r="A29" s="63"/>
      <c r="B29" s="64"/>
      <c r="C29" s="71"/>
      <c r="D29" s="68" t="str">
        <f t="shared" si="0"/>
        <v/>
      </c>
    </row>
    <row r="30" spans="1:4" s="53" customFormat="1" ht="12" x14ac:dyDescent="0.2">
      <c r="B30" s="54"/>
      <c r="C30" s="55" t="e">
        <f>AVERAGE(C6:C29)</f>
        <v>#DIV/0!</v>
      </c>
      <c r="D30" s="55" t="e">
        <f>AVERAGE(D6:D29)</f>
        <v>#DIV/0!</v>
      </c>
    </row>
  </sheetData>
  <dataValidations disablePrompts="1" count="1">
    <dataValidation type="list" allowBlank="1" showInputMessage="1" showErrorMessage="1" sqref="C1:C2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94" orientation="landscape" r:id="rId1"/>
  <headerFooter alignWithMargins="0">
    <oddHeader>&amp;L&amp;"ETML,Normal"&amp;14&amp;G&amp;C&amp;"Comic Sans MS,Gras"&amp;12&amp;A&amp;R&amp;"Comic Sans MS,Gras"&amp;16I-ch 303</oddHeader>
    <oddFooter>&amp;L&amp;"Comic Sans MS,Normal"&amp;F&amp;R&amp;"Comic Sans MS,Normal"&amp;D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7" r:id="rId5" name="btnGenerationStudent">
          <controlPr defaultSize="0" autoLine="0" autoPict="0" r:id="rId6">
            <anchor moveWithCells="1">
              <from>
                <xdr:col>4</xdr:col>
                <xdr:colOff>209550</xdr:colOff>
                <xdr:row>4</xdr:row>
                <xdr:rowOff>28575</xdr:rowOff>
              </from>
              <to>
                <xdr:col>5</xdr:col>
                <xdr:colOff>0</xdr:colOff>
                <xdr:row>6</xdr:row>
                <xdr:rowOff>133350</xdr:rowOff>
              </to>
            </anchor>
          </controlPr>
        </control>
      </mc:Choice>
      <mc:Fallback>
        <control shapeId="6147" r:id="rId5" name="btnGenerationStud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M25"/>
  <sheetViews>
    <sheetView zoomScale="90" zoomScaleNormal="90" workbookViewId="0">
      <selection activeCell="B4" sqref="B4"/>
    </sheetView>
  </sheetViews>
  <sheetFormatPr baseColWidth="10" defaultColWidth="11.42578125" defaultRowHeight="15" x14ac:dyDescent="0.2"/>
  <cols>
    <col min="1" max="1" width="15.7109375" style="1" customWidth="1"/>
    <col min="2" max="2" width="25.7109375" style="8" customWidth="1"/>
    <col min="3" max="3" width="25.7109375" style="5" customWidth="1"/>
    <col min="4" max="4" width="25.7109375" style="9" customWidth="1"/>
    <col min="5" max="5" width="6.140625" style="9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 x14ac:dyDescent="0.2">
      <c r="A1" s="15" t="s">
        <v>7</v>
      </c>
      <c r="B1" s="16" t="s">
        <v>39</v>
      </c>
      <c r="C1" s="73"/>
      <c r="D1" s="18"/>
      <c r="E1" s="24" t="s">
        <v>18</v>
      </c>
      <c r="F1" s="19"/>
      <c r="G1" s="20"/>
      <c r="H1" s="20"/>
      <c r="I1" s="20"/>
    </row>
    <row r="2" spans="1:13" x14ac:dyDescent="0.2">
      <c r="A2" s="15"/>
      <c r="B2" s="16"/>
      <c r="C2" s="17"/>
      <c r="D2" s="18"/>
      <c r="E2" s="23">
        <v>1</v>
      </c>
      <c r="F2" s="19"/>
      <c r="G2" s="20"/>
      <c r="H2" s="20"/>
      <c r="I2" s="20"/>
    </row>
    <row r="3" spans="1:13" ht="31.5" x14ac:dyDescent="0.25">
      <c r="A3" s="12" t="s">
        <v>3</v>
      </c>
      <c r="B3" s="13" t="s">
        <v>19</v>
      </c>
      <c r="C3" s="14" t="s">
        <v>6</v>
      </c>
      <c r="D3" s="14" t="s">
        <v>4</v>
      </c>
      <c r="E3" s="22" t="s">
        <v>18</v>
      </c>
      <c r="F3" s="21" t="s">
        <v>9</v>
      </c>
      <c r="G3" s="21" t="s">
        <v>10</v>
      </c>
      <c r="H3" s="21" t="s">
        <v>11</v>
      </c>
      <c r="I3" s="21" t="s">
        <v>8</v>
      </c>
      <c r="L3" s="11"/>
      <c r="M3" s="11"/>
    </row>
    <row r="4" spans="1:13" s="75" customFormat="1" ht="25.5" x14ac:dyDescent="0.2">
      <c r="A4" s="27" t="s">
        <v>2</v>
      </c>
      <c r="B4" s="28" t="s">
        <v>38</v>
      </c>
      <c r="C4" s="28" t="s">
        <v>27</v>
      </c>
      <c r="D4" s="29" t="s">
        <v>32</v>
      </c>
      <c r="E4" s="30">
        <v>1</v>
      </c>
      <c r="F4" s="29" t="s">
        <v>5</v>
      </c>
      <c r="G4" s="72" t="s">
        <v>31</v>
      </c>
      <c r="H4" s="72" t="s">
        <v>29</v>
      </c>
      <c r="I4" s="29" t="s">
        <v>30</v>
      </c>
      <c r="L4" s="32"/>
      <c r="M4" s="32"/>
    </row>
    <row r="5" spans="1:13" s="75" customFormat="1" ht="90" x14ac:dyDescent="0.2">
      <c r="A5" s="10" t="s">
        <v>2</v>
      </c>
      <c r="B5" s="31" t="s">
        <v>22</v>
      </c>
      <c r="C5" s="31" t="s">
        <v>16</v>
      </c>
      <c r="D5" s="32" t="s">
        <v>28</v>
      </c>
      <c r="E5" s="33">
        <v>1</v>
      </c>
      <c r="F5" s="32" t="s">
        <v>12</v>
      </c>
      <c r="G5" s="74" t="s">
        <v>13</v>
      </c>
      <c r="H5" s="32" t="s">
        <v>14</v>
      </c>
      <c r="I5" s="32" t="s">
        <v>15</v>
      </c>
      <c r="L5" s="32"/>
      <c r="M5" s="32"/>
    </row>
    <row r="6" spans="1:13" s="75" customFormat="1" x14ac:dyDescent="0.2">
      <c r="A6" s="27" t="s">
        <v>2</v>
      </c>
      <c r="B6" s="28" t="s">
        <v>34</v>
      </c>
      <c r="C6" s="28" t="s">
        <v>35</v>
      </c>
      <c r="D6" s="29" t="s">
        <v>36</v>
      </c>
      <c r="E6" s="30">
        <v>1</v>
      </c>
      <c r="F6" s="29" t="s">
        <v>33</v>
      </c>
      <c r="G6" s="72" t="s">
        <v>17</v>
      </c>
      <c r="H6" s="72" t="s">
        <v>17</v>
      </c>
      <c r="I6" s="29" t="s">
        <v>37</v>
      </c>
      <c r="L6" s="32"/>
      <c r="M6" s="32"/>
    </row>
    <row r="7" spans="1:13" x14ac:dyDescent="0.2">
      <c r="A7" s="3"/>
      <c r="B7" s="3"/>
      <c r="C7" s="10"/>
      <c r="D7" s="3"/>
      <c r="F7" s="3"/>
    </row>
    <row r="8" spans="1:13" x14ac:dyDescent="0.2">
      <c r="A8" s="3"/>
      <c r="B8" s="3"/>
      <c r="C8" s="10"/>
      <c r="D8" s="3"/>
      <c r="F8" s="3"/>
    </row>
    <row r="9" spans="1:13" x14ac:dyDescent="0.2">
      <c r="A9" s="3"/>
      <c r="B9" s="3"/>
      <c r="C9" s="10"/>
      <c r="D9" s="3"/>
      <c r="F9" s="3"/>
    </row>
    <row r="10" spans="1:13" x14ac:dyDescent="0.2">
      <c r="A10" s="3"/>
      <c r="B10" s="3"/>
      <c r="C10" s="10"/>
      <c r="D10" s="3"/>
      <c r="F10" s="3"/>
    </row>
    <row r="11" spans="1:13" x14ac:dyDescent="0.2">
      <c r="A11" s="3"/>
      <c r="B11" s="3"/>
      <c r="C11" s="10"/>
      <c r="D11" s="3"/>
      <c r="F11" s="3"/>
    </row>
    <row r="12" spans="1:13" x14ac:dyDescent="0.2">
      <c r="A12" s="3"/>
      <c r="B12" s="3"/>
      <c r="C12" s="10"/>
      <c r="D12" s="3"/>
      <c r="F12" s="3"/>
    </row>
    <row r="13" spans="1:13" x14ac:dyDescent="0.2">
      <c r="A13" s="3"/>
      <c r="B13" s="3"/>
      <c r="C13" s="10"/>
      <c r="D13" s="3"/>
      <c r="F13" s="3"/>
    </row>
    <row r="14" spans="1:13" x14ac:dyDescent="0.2">
      <c r="A14" s="3"/>
      <c r="B14" s="3"/>
      <c r="C14" s="10"/>
      <c r="D14" s="3"/>
      <c r="F14" s="3"/>
    </row>
    <row r="15" spans="1:13" x14ac:dyDescent="0.2">
      <c r="A15" s="3"/>
      <c r="B15" s="3"/>
      <c r="C15" s="10"/>
      <c r="D15" s="3"/>
      <c r="F15" s="3"/>
    </row>
    <row r="16" spans="1:13" x14ac:dyDescent="0.2">
      <c r="A16" s="3"/>
      <c r="B16" s="3"/>
      <c r="C16" s="10"/>
      <c r="D16" s="3"/>
      <c r="F16" s="3"/>
    </row>
    <row r="17" spans="1:6" x14ac:dyDescent="0.2">
      <c r="A17" s="3"/>
      <c r="B17" s="3"/>
      <c r="C17" s="10"/>
      <c r="D17" s="3"/>
      <c r="F17" s="3"/>
    </row>
    <row r="18" spans="1:6" x14ac:dyDescent="0.2">
      <c r="A18" s="3"/>
      <c r="B18" s="3"/>
      <c r="C18" s="10"/>
      <c r="D18" s="3"/>
      <c r="F18" s="3"/>
    </row>
    <row r="19" spans="1:6" x14ac:dyDescent="0.2">
      <c r="A19" s="3"/>
      <c r="B19" s="3"/>
      <c r="C19" s="10"/>
      <c r="D19" s="3"/>
      <c r="F19" s="3"/>
    </row>
    <row r="20" spans="1:6" x14ac:dyDescent="0.2">
      <c r="C20" s="10"/>
      <c r="D20" s="3"/>
      <c r="F20" s="3"/>
    </row>
    <row r="21" spans="1:6" x14ac:dyDescent="0.2">
      <c r="C21" s="10"/>
      <c r="D21" s="3"/>
      <c r="F21" s="3"/>
    </row>
    <row r="22" spans="1:6" x14ac:dyDescent="0.2">
      <c r="C22" s="10"/>
      <c r="D22" s="3"/>
      <c r="F22" s="3"/>
    </row>
    <row r="23" spans="1:6" x14ac:dyDescent="0.2">
      <c r="B23" s="5"/>
      <c r="D23" s="3"/>
      <c r="F23" s="3"/>
    </row>
    <row r="24" spans="1:6" x14ac:dyDescent="0.2">
      <c r="B24" s="5"/>
      <c r="D24" s="3"/>
      <c r="F24" s="3"/>
    </row>
    <row r="25" spans="1:6" x14ac:dyDescent="0.2">
      <c r="A25" s="3"/>
      <c r="B25" s="5"/>
      <c r="D25" s="3"/>
      <c r="F25" s="3"/>
    </row>
  </sheetData>
  <dataValidations count="1">
    <dataValidation type="list" allowBlank="1" showInputMessage="1" showErrorMessage="1" sqref="C7:C22 A4:A6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M13"/>
  <sheetViews>
    <sheetView tabSelected="1" zoomScale="90" zoomScaleNormal="90" workbookViewId="0">
      <selection activeCell="D18" sqref="D18"/>
    </sheetView>
  </sheetViews>
  <sheetFormatPr baseColWidth="10" defaultColWidth="11.42578125" defaultRowHeight="15" x14ac:dyDescent="0.2"/>
  <cols>
    <col min="1" max="1" width="25.7109375" style="1" customWidth="1"/>
    <col min="2" max="2" width="28.140625" style="8" bestFit="1" customWidth="1"/>
    <col min="3" max="3" width="25.7109375" style="5" customWidth="1"/>
    <col min="4" max="4" width="25.7109375" style="9" customWidth="1"/>
    <col min="5" max="5" width="6.140625" style="9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 x14ac:dyDescent="0.2">
      <c r="A1" s="15" t="s">
        <v>7</v>
      </c>
      <c r="B1" s="16" t="s">
        <v>75</v>
      </c>
      <c r="C1" s="73"/>
      <c r="D1" s="18"/>
      <c r="E1" s="24" t="s">
        <v>18</v>
      </c>
      <c r="F1" s="19"/>
      <c r="G1" s="20"/>
      <c r="H1" s="20"/>
      <c r="I1" s="20"/>
    </row>
    <row r="2" spans="1:13" x14ac:dyDescent="0.2">
      <c r="A2" s="15"/>
      <c r="B2" s="16"/>
      <c r="C2" s="17"/>
      <c r="D2" s="18"/>
      <c r="E2" s="23">
        <v>1</v>
      </c>
      <c r="F2" s="19"/>
      <c r="G2" s="20"/>
      <c r="H2" s="20"/>
      <c r="I2" s="20"/>
    </row>
    <row r="3" spans="1:13" ht="31.5" x14ac:dyDescent="0.25">
      <c r="A3" s="12" t="s">
        <v>3</v>
      </c>
      <c r="B3" s="13" t="s">
        <v>19</v>
      </c>
      <c r="C3" s="14" t="s">
        <v>6</v>
      </c>
      <c r="D3" s="14" t="s">
        <v>4</v>
      </c>
      <c r="E3" s="22" t="s">
        <v>18</v>
      </c>
      <c r="F3" s="21" t="s">
        <v>9</v>
      </c>
      <c r="G3" s="21" t="s">
        <v>10</v>
      </c>
      <c r="H3" s="21" t="s">
        <v>11</v>
      </c>
      <c r="I3" s="21" t="s">
        <v>8</v>
      </c>
      <c r="L3" s="11"/>
      <c r="M3" s="11"/>
    </row>
    <row r="4" spans="1:13" ht="30" x14ac:dyDescent="0.2">
      <c r="A4" s="10" t="s">
        <v>42</v>
      </c>
      <c r="B4" s="31" t="s">
        <v>45</v>
      </c>
      <c r="C4" s="31" t="s">
        <v>43</v>
      </c>
      <c r="D4" s="32" t="s">
        <v>44</v>
      </c>
      <c r="E4" s="33">
        <v>1</v>
      </c>
      <c r="F4" s="32" t="s">
        <v>5</v>
      </c>
      <c r="G4" s="74" t="s">
        <v>31</v>
      </c>
      <c r="H4" s="74" t="s">
        <v>29</v>
      </c>
      <c r="I4" s="32" t="s">
        <v>40</v>
      </c>
      <c r="L4" s="11"/>
      <c r="M4" s="11"/>
    </row>
    <row r="5" spans="1:13" s="75" customFormat="1" ht="45" x14ac:dyDescent="0.2">
      <c r="A5" s="27" t="s">
        <v>42</v>
      </c>
      <c r="B5" s="28" t="s">
        <v>46</v>
      </c>
      <c r="C5" s="28" t="s">
        <v>49</v>
      </c>
      <c r="D5" s="29" t="s">
        <v>47</v>
      </c>
      <c r="E5" s="30">
        <v>2</v>
      </c>
      <c r="F5" s="29" t="s">
        <v>5</v>
      </c>
      <c r="G5" s="72" t="s">
        <v>31</v>
      </c>
      <c r="H5" s="72" t="s">
        <v>29</v>
      </c>
      <c r="I5" s="29" t="s">
        <v>40</v>
      </c>
      <c r="L5" s="32"/>
      <c r="M5" s="32"/>
    </row>
    <row r="6" spans="1:13" s="75" customFormat="1" x14ac:dyDescent="0.2">
      <c r="A6" s="10" t="s">
        <v>42</v>
      </c>
      <c r="B6" s="31" t="s">
        <v>48</v>
      </c>
      <c r="C6" s="31" t="s">
        <v>50</v>
      </c>
      <c r="D6" s="32" t="s">
        <v>51</v>
      </c>
      <c r="E6" s="33">
        <v>1</v>
      </c>
      <c r="F6" s="32" t="s">
        <v>5</v>
      </c>
      <c r="G6" s="74" t="s">
        <v>31</v>
      </c>
      <c r="H6" s="32" t="s">
        <v>29</v>
      </c>
      <c r="I6" s="32" t="s">
        <v>40</v>
      </c>
      <c r="L6" s="32"/>
      <c r="M6" s="32"/>
    </row>
    <row r="7" spans="1:13" s="75" customFormat="1" ht="90" x14ac:dyDescent="0.2">
      <c r="A7" s="27" t="s">
        <v>42</v>
      </c>
      <c r="B7" s="28" t="s">
        <v>52</v>
      </c>
      <c r="C7" s="28" t="s">
        <v>55</v>
      </c>
      <c r="D7" s="29" t="s">
        <v>55</v>
      </c>
      <c r="E7" s="30">
        <v>2</v>
      </c>
      <c r="F7" s="29" t="s">
        <v>5</v>
      </c>
      <c r="G7" s="72" t="s">
        <v>31</v>
      </c>
      <c r="H7" s="72" t="s">
        <v>29</v>
      </c>
      <c r="I7" s="72" t="s">
        <v>40</v>
      </c>
      <c r="L7" s="32"/>
      <c r="M7" s="32"/>
    </row>
    <row r="8" spans="1:13" s="75" customFormat="1" ht="60" x14ac:dyDescent="0.2">
      <c r="A8" s="10" t="s">
        <v>42</v>
      </c>
      <c r="B8" s="31" t="s">
        <v>53</v>
      </c>
      <c r="C8" s="31" t="s">
        <v>54</v>
      </c>
      <c r="D8" s="32" t="s">
        <v>54</v>
      </c>
      <c r="E8" s="33">
        <v>2</v>
      </c>
      <c r="F8" s="32" t="s">
        <v>5</v>
      </c>
      <c r="G8" s="74" t="s">
        <v>31</v>
      </c>
      <c r="H8" s="32" t="s">
        <v>29</v>
      </c>
      <c r="I8" s="32" t="s">
        <v>40</v>
      </c>
      <c r="L8" s="32"/>
      <c r="M8" s="32"/>
    </row>
    <row r="9" spans="1:13" s="75" customFormat="1" ht="75" x14ac:dyDescent="0.2">
      <c r="A9" s="27" t="s">
        <v>42</v>
      </c>
      <c r="B9" s="28" t="s">
        <v>56</v>
      </c>
      <c r="C9" s="28" t="s">
        <v>57</v>
      </c>
      <c r="D9" s="29" t="s">
        <v>57</v>
      </c>
      <c r="E9" s="30">
        <v>1</v>
      </c>
      <c r="F9" s="29" t="s">
        <v>5</v>
      </c>
      <c r="G9" s="72" t="s">
        <v>31</v>
      </c>
      <c r="H9" s="72" t="s">
        <v>29</v>
      </c>
      <c r="I9" s="72" t="s">
        <v>40</v>
      </c>
      <c r="L9" s="32"/>
      <c r="M9" s="32"/>
    </row>
    <row r="10" spans="1:13" s="75" customFormat="1" ht="51" x14ac:dyDescent="0.2">
      <c r="A10" s="10" t="s">
        <v>42</v>
      </c>
      <c r="B10" s="31" t="s">
        <v>58</v>
      </c>
      <c r="C10" s="31" t="s">
        <v>59</v>
      </c>
      <c r="D10" s="32" t="s">
        <v>60</v>
      </c>
      <c r="E10" s="33">
        <v>2</v>
      </c>
      <c r="F10" s="32" t="s">
        <v>5</v>
      </c>
      <c r="G10" s="74" t="s">
        <v>31</v>
      </c>
      <c r="H10" s="32" t="s">
        <v>29</v>
      </c>
      <c r="I10" s="32" t="s">
        <v>40</v>
      </c>
      <c r="L10" s="32"/>
      <c r="M10" s="32"/>
    </row>
    <row r="11" spans="1:13" s="75" customFormat="1" ht="51" x14ac:dyDescent="0.2">
      <c r="A11" s="27" t="s">
        <v>42</v>
      </c>
      <c r="B11" s="28" t="s">
        <v>62</v>
      </c>
      <c r="C11" s="28" t="s">
        <v>63</v>
      </c>
      <c r="D11" s="29" t="s">
        <v>64</v>
      </c>
      <c r="E11" s="30">
        <v>2</v>
      </c>
      <c r="F11" s="29" t="s">
        <v>5</v>
      </c>
      <c r="G11" s="72" t="s">
        <v>31</v>
      </c>
      <c r="H11" s="72" t="s">
        <v>29</v>
      </c>
      <c r="I11" s="72" t="s">
        <v>40</v>
      </c>
      <c r="L11" s="32"/>
      <c r="M11" s="32"/>
    </row>
    <row r="12" spans="1:13" s="75" customFormat="1" ht="25.5" x14ac:dyDescent="0.2">
      <c r="A12" s="10" t="s">
        <v>42</v>
      </c>
      <c r="B12" s="31" t="s">
        <v>65</v>
      </c>
      <c r="C12" s="31" t="s">
        <v>66</v>
      </c>
      <c r="D12" s="32" t="s">
        <v>67</v>
      </c>
      <c r="E12" s="33">
        <v>1</v>
      </c>
      <c r="F12" s="32" t="s">
        <v>5</v>
      </c>
      <c r="G12" s="74" t="s">
        <v>17</v>
      </c>
      <c r="H12" s="32" t="s">
        <v>31</v>
      </c>
      <c r="I12" s="32" t="s">
        <v>68</v>
      </c>
      <c r="L12" s="32"/>
      <c r="M12" s="32"/>
    </row>
    <row r="13" spans="1:13" s="75" customFormat="1" ht="45" x14ac:dyDescent="0.2">
      <c r="A13" s="27" t="s">
        <v>61</v>
      </c>
      <c r="B13" s="28" t="s">
        <v>69</v>
      </c>
      <c r="C13" s="28" t="s">
        <v>70</v>
      </c>
      <c r="D13" s="29" t="s">
        <v>71</v>
      </c>
      <c r="E13" s="30">
        <v>1</v>
      </c>
      <c r="F13" s="29" t="s">
        <v>5</v>
      </c>
      <c r="G13" s="72" t="s">
        <v>72</v>
      </c>
      <c r="H13" s="72" t="s">
        <v>73</v>
      </c>
      <c r="I13" s="72" t="s">
        <v>74</v>
      </c>
      <c r="L13" s="32"/>
      <c r="M13" s="32"/>
    </row>
  </sheetData>
  <dataValidations count="1">
    <dataValidation type="list" allowBlank="1" showInputMessage="1" showErrorMessage="1" sqref="A4:A13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4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E19"/>
  <sheetViews>
    <sheetView zoomScaleNormal="100" workbookViewId="0">
      <selection activeCell="D7" sqref="D7"/>
    </sheetView>
  </sheetViews>
  <sheetFormatPr baseColWidth="10" defaultRowHeight="12.75" x14ac:dyDescent="0.2"/>
  <cols>
    <col min="1" max="1" width="86.42578125" customWidth="1"/>
    <col min="2" max="2" width="6.42578125" bestFit="1" customWidth="1"/>
    <col min="4" max="4" width="60.7109375" customWidth="1"/>
    <col min="5" max="5" width="67.7109375" style="25" customWidth="1"/>
  </cols>
  <sheetData>
    <row r="1" spans="1:5" ht="20.25" thickBot="1" x14ac:dyDescent="0.25">
      <c r="A1" s="69"/>
      <c r="B1" s="80" t="s">
        <v>1</v>
      </c>
      <c r="C1" s="81"/>
    </row>
    <row r="2" spans="1:5" ht="18.75" thickBot="1" x14ac:dyDescent="0.25">
      <c r="A2" s="4"/>
      <c r="B2" s="6" t="s">
        <v>18</v>
      </c>
      <c r="C2" s="7" t="s">
        <v>0</v>
      </c>
      <c r="D2" s="44">
        <f>(SUM(C7,C19)*5/SUM(B7,B19)+1)</f>
        <v>1</v>
      </c>
    </row>
    <row r="3" spans="1:5" ht="14.25" x14ac:dyDescent="0.2">
      <c r="A3" s="16" t="str">
        <f>Objectif1!B1</f>
        <v>Respect des règles / Commentaires</v>
      </c>
      <c r="B3" s="36">
        <f>Objectif1!E2</f>
        <v>1</v>
      </c>
      <c r="C3" s="37"/>
      <c r="D3" s="16">
        <f>Objectif1!C1</f>
        <v>0</v>
      </c>
      <c r="E3" s="26"/>
    </row>
    <row r="4" spans="1:5" x14ac:dyDescent="0.2">
      <c r="A4" s="34" t="str">
        <f>Objectif1!B4</f>
        <v>Commentaires Entête</v>
      </c>
      <c r="B4" s="38">
        <f>Objectif1!E4</f>
        <v>1</v>
      </c>
      <c r="C4" s="45"/>
      <c r="D4" s="35"/>
      <c r="E4" s="35" t="str">
        <f>Objectif1!D4</f>
        <v>Selon les normes ETML (entête de fichier, de méthode)</v>
      </c>
    </row>
    <row r="5" spans="1:5" x14ac:dyDescent="0.2">
      <c r="A5" s="76" t="str">
        <f>Objectif1!B5</f>
        <v>Insère des commentaires de qualité</v>
      </c>
      <c r="B5" s="77">
        <f>Objectif1!E5</f>
        <v>1</v>
      </c>
      <c r="C5" s="78"/>
      <c r="D5" s="79"/>
      <c r="E5" s="79" t="str">
        <f>Objectif1!D5</f>
        <v>Les commentaires expliquent en l'intention du programme</v>
      </c>
    </row>
    <row r="6" spans="1:5" x14ac:dyDescent="0.2">
      <c r="A6" s="34" t="str">
        <f>Objectif1!B6</f>
        <v>Variables, nom de fonction</v>
      </c>
      <c r="B6" s="38">
        <f>Objectif1!E6</f>
        <v>1</v>
      </c>
      <c r="C6" s="45"/>
      <c r="D6" s="35"/>
      <c r="E6" s="35" t="str">
        <f>Objectif1!D6</f>
        <v>Respecte les normes ETML</v>
      </c>
    </row>
    <row r="7" spans="1:5" x14ac:dyDescent="0.2">
      <c r="A7" s="43" t="s">
        <v>23</v>
      </c>
      <c r="B7" s="39">
        <f>SUM(B4:B6)*3</f>
        <v>9</v>
      </c>
      <c r="C7" s="42">
        <f>(B4*C4)+(B5*C5)+(B6*C6)</f>
        <v>0</v>
      </c>
      <c r="D7" s="41">
        <f>(C7*5/B7)+1</f>
        <v>1</v>
      </c>
      <c r="E7" s="40"/>
    </row>
    <row r="8" spans="1:5" ht="14.25" x14ac:dyDescent="0.2">
      <c r="A8" s="16" t="str">
        <f>Objectif2!B1</f>
        <v>Reproduire la page</v>
      </c>
      <c r="B8" s="36">
        <f>Objectif2!E2</f>
        <v>1</v>
      </c>
      <c r="C8" s="37"/>
      <c r="D8" s="16">
        <f>Objectif2!C1</f>
        <v>0</v>
      </c>
      <c r="E8" s="26"/>
    </row>
    <row r="9" spans="1:5" ht="13.5" customHeight="1" x14ac:dyDescent="0.2">
      <c r="A9" s="76" t="str">
        <f>Objectif2!B4</f>
        <v>Les titres sont identiques</v>
      </c>
      <c r="B9" s="77">
        <f>Objectif2!E4</f>
        <v>1</v>
      </c>
      <c r="C9" s="78"/>
      <c r="D9" s="79"/>
      <c r="E9" s="79" t="str">
        <f>Objectif2!D4</f>
        <v>&lt;title&gt;, &lt;h1&gt;, &lt;h4&gt; -&gt; les textes sont identiques</v>
      </c>
    </row>
    <row r="10" spans="1:5" x14ac:dyDescent="0.2">
      <c r="A10" s="34" t="str">
        <f>Objectif2!B5</f>
        <v>Header et les titres sont le bon style</v>
      </c>
      <c r="B10" s="38">
        <f>Objectif2!E5</f>
        <v>2</v>
      </c>
      <c r="C10" s="45"/>
      <c r="D10" s="35"/>
      <c r="E10" s="35" t="str">
        <f>Objectif2!D5</f>
        <v>header en #444, taille par défaut, h1 small-caps, h4 italique, couleur blanc</v>
      </c>
    </row>
    <row r="11" spans="1:5" ht="13.5" customHeight="1" x14ac:dyDescent="0.2">
      <c r="A11" s="76" t="str">
        <f>Objectif2!B6</f>
        <v>Footer</v>
      </c>
      <c r="B11" s="77">
        <f>Objectif2!E6</f>
        <v>1</v>
      </c>
      <c r="C11" s="78"/>
      <c r="D11" s="79"/>
      <c r="E11" s="79" t="str">
        <f>Objectif2!D6</f>
        <v>#444, color, taille 12px</v>
      </c>
    </row>
    <row r="12" spans="1:5" x14ac:dyDescent="0.2">
      <c r="A12" s="34" t="str">
        <f>Objectif2!B7</f>
        <v>Article : titre, fond</v>
      </c>
      <c r="B12" s="38">
        <f>Objectif2!E7</f>
        <v>2</v>
      </c>
      <c r="C12" s="45"/>
      <c r="D12" s="35"/>
      <c r="E12" s="35" t="str">
        <f>Objectif2!D7</f>
        <v>titre h3 blanc, fond #444, espace 10px. Fond article #eee, espace 0, 10, 10, 10, position selon copie d'écran, le texte passe sous la photo quand il est grand</v>
      </c>
    </row>
    <row r="13" spans="1:5" ht="13.5" customHeight="1" x14ac:dyDescent="0.2">
      <c r="A13" s="76" t="str">
        <f>Objectif2!B8</f>
        <v>Article : image</v>
      </c>
      <c r="B13" s="77">
        <f>Objectif2!E8</f>
        <v>2</v>
      </c>
      <c r="C13" s="78"/>
      <c r="D13" s="79"/>
      <c r="E13" s="79" t="str">
        <f>Objectif2!D8</f>
        <v>Bordure #444 1px solid, espace 5px entre image et texte, position selon copie d'écran</v>
      </c>
    </row>
    <row r="14" spans="1:5" x14ac:dyDescent="0.2">
      <c r="A14" s="34" t="str">
        <f>Objectif2!B9</f>
        <v>Article : source</v>
      </c>
      <c r="B14" s="38">
        <f>Objectif2!E9</f>
        <v>1</v>
      </c>
      <c r="C14" s="45"/>
      <c r="D14" s="35"/>
      <c r="E14" s="35" t="str">
        <f>Objectif2!D9</f>
        <v>Position selon copie d'écran, text-decoration: none; color:#444, lien fonctionnel sur nouvel onglet</v>
      </c>
    </row>
    <row r="15" spans="1:5" ht="13.5" customHeight="1" x14ac:dyDescent="0.2">
      <c r="A15" s="76" t="str">
        <f>Objectif2!B10</f>
        <v>Image : clic</v>
      </c>
      <c r="B15" s="77">
        <f>Objectif2!E10</f>
        <v>2</v>
      </c>
      <c r="C15" s="78"/>
      <c r="D15" s="79"/>
      <c r="E15" s="79" t="str">
        <f>Objectif2!D10</f>
        <v>L'image apparait en grand dans la lightbox fournie, avec le titre de l'article et un bouton pour fermer la fenêtre.</v>
      </c>
    </row>
    <row r="16" spans="1:5" x14ac:dyDescent="0.2">
      <c r="A16" s="34" t="str">
        <f>Objectif2!B11</f>
        <v>Scrolling</v>
      </c>
      <c r="B16" s="38">
        <f>Objectif2!E11</f>
        <v>2</v>
      </c>
      <c r="C16" s="45"/>
      <c r="D16" s="35"/>
      <c r="E16" s="35" t="str">
        <f>Objectif2!D11</f>
        <v>Quand on arrive en bas de page, 2 articles sont ajoutés, c'est dynamique, autant d'articles qu'il y en a dans la bd.</v>
      </c>
    </row>
    <row r="17" spans="1:5" ht="13.5" customHeight="1" x14ac:dyDescent="0.2">
      <c r="A17" s="76" t="str">
        <f>Objectif2!B12</f>
        <v>Images</v>
      </c>
      <c r="B17" s="77">
        <f>Objectif2!E12</f>
        <v>1</v>
      </c>
      <c r="C17" s="78"/>
      <c r="D17" s="79"/>
      <c r="E17" s="79" t="str">
        <f>Objectif2!D12</f>
        <v>Elles sont dans le bon format et la bonne taille.</v>
      </c>
    </row>
    <row r="18" spans="1:5" x14ac:dyDescent="0.2">
      <c r="A18" s="34" t="str">
        <f>Objectif2!B13</f>
        <v>100% identique</v>
      </c>
      <c r="B18" s="38">
        <f>Objectif2!E13</f>
        <v>1</v>
      </c>
      <c r="C18" s="45"/>
      <c r="D18" s="35"/>
      <c r="E18" s="35" t="str">
        <f>Objectif2!D13</f>
        <v>comparer la copie d'écran et le site</v>
      </c>
    </row>
    <row r="19" spans="1:5" x14ac:dyDescent="0.2">
      <c r="A19" s="43" t="s">
        <v>23</v>
      </c>
      <c r="B19" s="39">
        <f>SUM(B9:B18)*3</f>
        <v>45</v>
      </c>
      <c r="C19" s="42">
        <f>(B9*C9)+(B10*C10)+(B11*C11)+(B12*C12)+(B13*C13)+(B14*C14)+(B15*C15)+(B16*C16)+(B17*C17)+(B18*C18)</f>
        <v>0</v>
      </c>
      <c r="D19" s="41">
        <f>(C19*5/B19)+1</f>
        <v>1</v>
      </c>
      <c r="E19" s="40"/>
    </row>
  </sheetData>
  <mergeCells count="1">
    <mergeCell ref="B1:C1"/>
  </mergeCells>
  <dataValidations count="1">
    <dataValidation type="whole" allowBlank="1" showInputMessage="1" showErrorMessage="1" sqref="C3:C6 C8:C18">
      <formula1>0</formula1>
      <formula2>3</formula2>
    </dataValidation>
  </dataValidations>
  <pageMargins left="0.7" right="0.7" top="0.75" bottom="0.75" header="0.3" footer="0.3"/>
  <pageSetup paperSize="9" scale="64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9ce61ab3ecf055f5a012b1ae06a6783d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b414800baeece71dce3b55753192910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d1a05ec-d545-49db-9347-35c2adf61735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9A7122F-A877-40F0-8F4D-10F53DD04F60}"/>
</file>

<file path=customXml/itemProps2.xml><?xml version="1.0" encoding="utf-8"?>
<ds:datastoreItem xmlns:ds="http://schemas.openxmlformats.org/officeDocument/2006/customXml" ds:itemID="{C1BC7F80-1698-4039-A3AB-4F1D28EDE125}"/>
</file>

<file path=customXml/itemProps3.xml><?xml version="1.0" encoding="utf-8"?>
<ds:datastoreItem xmlns:ds="http://schemas.openxmlformats.org/officeDocument/2006/customXml" ds:itemID="{67FDDB13-F9F4-44C8-BDAB-53FE43FEA1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Intro</vt:lpstr>
      <vt:lpstr>Objectif1</vt:lpstr>
      <vt:lpstr>Objectif2</vt:lpstr>
      <vt:lpstr>Grille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Ferrari</dc:creator>
  <cp:lastModifiedBy>Cindy Hardegger</cp:lastModifiedBy>
  <cp:lastPrinted>2015-02-09T10:06:02Z</cp:lastPrinted>
  <dcterms:created xsi:type="dcterms:W3CDTF">2002-01-31T16:50:36Z</dcterms:created>
  <dcterms:modified xsi:type="dcterms:W3CDTF">2018-12-14T09:16:54Z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