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ndy\Google Drive\Cours\ETML\152\Test-2020\"/>
    </mc:Choice>
  </mc:AlternateContent>
  <xr:revisionPtr revIDLastSave="0" documentId="13_ncr:1_{F6A0F183-2EA7-40DA-BFEE-8CD912797BA6}" xr6:coauthVersionLast="47" xr6:coauthVersionMax="47" xr10:uidLastSave="{00000000-0000-0000-0000-000000000000}"/>
  <bookViews>
    <workbookView xWindow="-120" yWindow="-120" windowWidth="29040" windowHeight="15840" tabRatio="621" xr2:uid="{00000000-000D-0000-FFFF-FFFF00000000}"/>
  </bookViews>
  <sheets>
    <sheet name="Intro" sheetId="35" r:id="rId1"/>
    <sheet name="Règle" sheetId="39" r:id="rId2"/>
    <sheet name="Couleurs" sheetId="42" r:id="rId3"/>
    <sheet name="Général " sheetId="44" r:id="rId4"/>
    <sheet name="Header" sheetId="45" r:id="rId5"/>
    <sheet name="Vignettes" sheetId="46" r:id="rId6"/>
    <sheet name="Footer" sheetId="43" r:id="rId7"/>
    <sheet name="Grille" sheetId="38" r:id="rId8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38" l="1"/>
  <c r="C33" i="38"/>
  <c r="A27" i="38"/>
  <c r="B27" i="38"/>
  <c r="E27" i="38"/>
  <c r="A28" i="38"/>
  <c r="B28" i="38"/>
  <c r="E28" i="38"/>
  <c r="A29" i="38"/>
  <c r="B29" i="38"/>
  <c r="E29" i="38"/>
  <c r="A30" i="38"/>
  <c r="B30" i="38"/>
  <c r="E30" i="38"/>
  <c r="A31" i="38"/>
  <c r="B31" i="38"/>
  <c r="E31" i="38"/>
  <c r="A32" i="38"/>
  <c r="B32" i="38"/>
  <c r="E32" i="38"/>
  <c r="E26" i="38"/>
  <c r="B26" i="38"/>
  <c r="A26" i="38"/>
  <c r="A25" i="38"/>
  <c r="A52" i="38"/>
  <c r="B52" i="38"/>
  <c r="E52" i="38"/>
  <c r="A53" i="38"/>
  <c r="B53" i="38"/>
  <c r="E53" i="38"/>
  <c r="A54" i="38"/>
  <c r="B54" i="38"/>
  <c r="E54" i="38"/>
  <c r="A55" i="38"/>
  <c r="B55" i="38"/>
  <c r="E55" i="38"/>
  <c r="E51" i="38"/>
  <c r="B51" i="38"/>
  <c r="A51" i="38"/>
  <c r="A50" i="38"/>
  <c r="A47" i="38"/>
  <c r="B47" i="38"/>
  <c r="E47" i="38"/>
  <c r="A48" i="38"/>
  <c r="B48" i="38"/>
  <c r="E48" i="38"/>
  <c r="A36" i="38"/>
  <c r="B36" i="38"/>
  <c r="E36" i="38"/>
  <c r="A37" i="38"/>
  <c r="B37" i="38"/>
  <c r="E37" i="38"/>
  <c r="A38" i="38"/>
  <c r="B38" i="38"/>
  <c r="E38" i="38"/>
  <c r="A39" i="38"/>
  <c r="B39" i="38"/>
  <c r="E39" i="38"/>
  <c r="A40" i="38"/>
  <c r="B40" i="38"/>
  <c r="E40" i="38"/>
  <c r="A41" i="38"/>
  <c r="B41" i="38"/>
  <c r="E41" i="38"/>
  <c r="A42" i="38"/>
  <c r="B42" i="38"/>
  <c r="E42" i="38"/>
  <c r="A43" i="38"/>
  <c r="B43" i="38"/>
  <c r="E43" i="38"/>
  <c r="A44" i="38"/>
  <c r="B44" i="38"/>
  <c r="E44" i="38"/>
  <c r="A45" i="38"/>
  <c r="B45" i="38"/>
  <c r="E45" i="38"/>
  <c r="A46" i="38"/>
  <c r="B46" i="38"/>
  <c r="E46" i="38"/>
  <c r="E35" i="38"/>
  <c r="B35" i="38"/>
  <c r="A35" i="38"/>
  <c r="A34" i="38"/>
  <c r="A21" i="38"/>
  <c r="B21" i="38"/>
  <c r="E21" i="38"/>
  <c r="A22" i="38"/>
  <c r="B22" i="38"/>
  <c r="E22" i="38"/>
  <c r="A23" i="38"/>
  <c r="B23" i="38"/>
  <c r="E23" i="38"/>
  <c r="E20" i="38"/>
  <c r="B20" i="38"/>
  <c r="A20" i="38"/>
  <c r="A19" i="38"/>
  <c r="C18" i="38"/>
  <c r="A16" i="38"/>
  <c r="B16" i="38"/>
  <c r="E16" i="38"/>
  <c r="A17" i="38"/>
  <c r="B17" i="38"/>
  <c r="E17" i="38"/>
  <c r="B33" i="38" l="1"/>
  <c r="C56" i="38"/>
  <c r="C49" i="38"/>
  <c r="B56" i="38"/>
  <c r="B49" i="38"/>
  <c r="C24" i="38"/>
  <c r="A12" i="38"/>
  <c r="B12" i="38"/>
  <c r="E12" i="38"/>
  <c r="A13" i="38"/>
  <c r="B13" i="38"/>
  <c r="E13" i="38"/>
  <c r="A14" i="38"/>
  <c r="B14" i="38"/>
  <c r="E14" i="38"/>
  <c r="A15" i="38"/>
  <c r="B15" i="38"/>
  <c r="E15" i="38"/>
  <c r="E11" i="38"/>
  <c r="B11" i="38"/>
  <c r="A11" i="38"/>
  <c r="A10" i="38"/>
  <c r="A5" i="38"/>
  <c r="B5" i="38"/>
  <c r="E5" i="38"/>
  <c r="A6" i="38"/>
  <c r="B6" i="38"/>
  <c r="E6" i="38"/>
  <c r="A7" i="38"/>
  <c r="B7" i="38"/>
  <c r="E7" i="38"/>
  <c r="A8" i="38"/>
  <c r="B8" i="38"/>
  <c r="E8" i="38"/>
  <c r="B18" i="38" l="1"/>
  <c r="B24" i="38"/>
  <c r="E4" i="38"/>
  <c r="B4" i="38"/>
  <c r="A4" i="38"/>
  <c r="A3" i="38"/>
  <c r="C9" i="38" l="1"/>
  <c r="B9" i="38"/>
  <c r="D13" i="35"/>
  <c r="D11" i="35"/>
  <c r="D9" i="35"/>
  <c r="D7" i="35"/>
  <c r="D8" i="35"/>
  <c r="D10" i="35"/>
  <c r="D12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6" i="35" l="1"/>
  <c r="D30" i="35" s="1"/>
  <c r="C30" i="3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Ferrari</author>
  </authors>
  <commentList>
    <comment ref="A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Ferrari</author>
  </authors>
  <commentList>
    <comment ref="A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Ferrari</author>
  </authors>
  <commentList>
    <comment ref="A3" authorId="0" shapeId="0" xr:uid="{20BEEA42-F4A0-4A7F-A13E-AC6F82035843}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Ferrari</author>
  </authors>
  <commentList>
    <comment ref="A3" authorId="0" shapeId="0" xr:uid="{AD84B38B-E8A8-4AE1-BAE5-2BC7E75993FA}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Ferrari</author>
  </authors>
  <commentList>
    <comment ref="A3" authorId="0" shapeId="0" xr:uid="{158D5F70-D85E-4AB3-9E00-087209643DE3}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Roberto Ferrari</author>
  </authors>
  <commentList>
    <comment ref="A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Taxonomie selon Bloom :
</t>
        </r>
        <r>
          <rPr>
            <sz val="9"/>
            <color indexed="81"/>
            <rFont val="Tahoma"/>
            <family val="2"/>
          </rPr>
          <t>Quel niveau de compétence est-il visé par la mesure ?</t>
        </r>
      </text>
    </comment>
  </commentList>
</comments>
</file>

<file path=xl/sharedStrings.xml><?xml version="1.0" encoding="utf-8"?>
<sst xmlns="http://schemas.openxmlformats.org/spreadsheetml/2006/main" count="390" uniqueCount="134">
  <si>
    <t>Module 152 - Les contenus multimédias</t>
  </si>
  <si>
    <t>Liste des candidats</t>
  </si>
  <si>
    <t>Prénom</t>
  </si>
  <si>
    <t>Nom</t>
  </si>
  <si>
    <t>Note</t>
  </si>
  <si>
    <t>Note au 5/10</t>
  </si>
  <si>
    <t>Objectif</t>
  </si>
  <si>
    <t>Respect des règles / Commentaires</t>
  </si>
  <si>
    <t>Poids</t>
  </si>
  <si>
    <t>Taxonomie</t>
  </si>
  <si>
    <r>
      <t xml:space="preserve">Comportements
</t>
    </r>
    <r>
      <rPr>
        <sz val="10"/>
        <rFont val="Comic Sans MS"/>
        <family val="4"/>
      </rPr>
      <t>l'élève ...</t>
    </r>
  </si>
  <si>
    <t>Indicateurs</t>
  </si>
  <si>
    <t>Révélateurs</t>
  </si>
  <si>
    <t>Critère 1
3pts : Parfait si</t>
  </si>
  <si>
    <t>Critère 2
2pts : Suffisant si</t>
  </si>
  <si>
    <t>Critère 3
1pt : Insuffisant si</t>
  </si>
  <si>
    <t xml:space="preserve">Critère 4
0pt : Inacceptable si </t>
  </si>
  <si>
    <t>Produit</t>
  </si>
  <si>
    <t>Commentaires Entête</t>
  </si>
  <si>
    <t>Selon la donnée</t>
  </si>
  <si>
    <t>Selon les normes ETML (entête de fichier, de méthode)</t>
  </si>
  <si>
    <t>Tout est conforme</t>
  </si>
  <si>
    <t>1 erreur</t>
  </si>
  <si>
    <t>2 erreurs</t>
  </si>
  <si>
    <t>Plus de 2 erreurs</t>
  </si>
  <si>
    <t>Insère des commentaires de qualité</t>
  </si>
  <si>
    <t>Les commentaires apportent une plus value à l'explication du comportement du code. Il ne sont pas semblables au code lui-même</t>
  </si>
  <si>
    <t>Les commentaires expliquent en l'intention du programme</t>
  </si>
  <si>
    <t>Il est possible de comprendre le code uniquement en lisant les commentaires</t>
  </si>
  <si>
    <t>Quelques commentaires sont trop vagues, mais la compréhension est là</t>
  </si>
  <si>
    <t>Les commentaires sont trop vagues pour comprendre le code, il est nécessaire d'aller le lire pour le comprendre</t>
  </si>
  <si>
    <t>Commentaires incompréhensible, trop proche du code n'apportent rien</t>
  </si>
  <si>
    <t>Variables, nom de fonction</t>
  </si>
  <si>
    <t>Norme ETML</t>
  </si>
  <si>
    <t>Respecte les normes ETML</t>
  </si>
  <si>
    <t>En ordre</t>
  </si>
  <si>
    <t>-</t>
  </si>
  <si>
    <t>Pas respecté</t>
  </si>
  <si>
    <t>Applique</t>
  </si>
  <si>
    <t>Respect du W3C (HTML et CSS)</t>
  </si>
  <si>
    <t>Aucune erreur</t>
  </si>
  <si>
    <t>2-3 erreurs</t>
  </si>
  <si>
    <t>Plus de 3 erreurs</t>
  </si>
  <si>
    <t>Utilise jQuery/ CSS en fichier</t>
  </si>
  <si>
    <t>Lien sur jQuery</t>
  </si>
  <si>
    <t>Utilise</t>
  </si>
  <si>
    <t>Trouver les codes couleurs</t>
  </si>
  <si>
    <t>Comprend</t>
  </si>
  <si>
    <t>Zone bleu</t>
  </si>
  <si>
    <t>62, 192, 224 ou #47C3E1</t>
  </si>
  <si>
    <t>Le code couleur est juste</t>
  </si>
  <si>
    <t>Le code couleur est faux</t>
  </si>
  <si>
    <t>Zone grise</t>
  </si>
  <si>
    <t>0, 14, 238 ou #eee</t>
  </si>
  <si>
    <t>Zone or</t>
  </si>
  <si>
    <t>255, 215, 0 ou #FFD700</t>
  </si>
  <si>
    <t>Zone facebook</t>
  </si>
  <si>
    <t>59, 89, 152 ou #3B5998</t>
  </si>
  <si>
    <t>Zone twitter</t>
  </si>
  <si>
    <t>85, 172, 238 ou #55ACEE</t>
  </si>
  <si>
    <t>Zone instagram</t>
  </si>
  <si>
    <t>18, 86, 136 ou #125688</t>
  </si>
  <si>
    <t>Zone blanche</t>
  </si>
  <si>
    <t>247, 247, 247 ou #f7f7f7</t>
  </si>
  <si>
    <t>Taille, grandeur des éléments à tout le site</t>
  </si>
  <si>
    <t>Police du site</t>
  </si>
  <si>
    <t>arial, sans-serif</t>
  </si>
  <si>
    <t>A appliqué une autre police ou a oublié la police par défaut</t>
  </si>
  <si>
    <t>Pas fait ou trop à corriger</t>
  </si>
  <si>
    <t>Police - taille</t>
  </si>
  <si>
    <t>h1 -&gt;72 et 36, h2 36 et 18 et voir les autres</t>
  </si>
  <si>
    <t>Pas fait ou trop à corriger ou plus de 2 erreurs</t>
  </si>
  <si>
    <t>Largeur des zones</t>
  </si>
  <si>
    <t>1140px</t>
  </si>
  <si>
    <t>Les 3 zones existent et sont bien délimitées</t>
  </si>
  <si>
    <t>header /section / footer</t>
  </si>
  <si>
    <t>Header</t>
  </si>
  <si>
    <t>Header - image de fond</t>
  </si>
  <si>
    <t>backcountry.jpg</t>
  </si>
  <si>
    <t>A mis une autre image</t>
  </si>
  <si>
    <t>Header - taille</t>
  </si>
  <si>
    <t>500px</t>
  </si>
  <si>
    <t>A mis une autre taille</t>
  </si>
  <si>
    <t>Header - fond titre et sous-titre</t>
  </si>
  <si>
    <t>blanc 50%</t>
  </si>
  <si>
    <t>Header - position titre et sous-titre</t>
  </si>
  <si>
    <t>30px du haut et sur l'image de fond</t>
  </si>
  <si>
    <t>A mis les couleurs trouvées en page couleur</t>
  </si>
  <si>
    <t>A mis d'autres couleurs</t>
  </si>
  <si>
    <t>Header - shrink taille</t>
  </si>
  <si>
    <t>130px</t>
  </si>
  <si>
    <t>Header - shrink couleur</t>
  </si>
  <si>
    <t>(62, 192, 224, 0.95)</t>
  </si>
  <si>
    <t>Header - ombre image + couleur</t>
  </si>
  <si>
    <t xml:space="preserve">A ajouté l'ombre </t>
  </si>
  <si>
    <t>A mis une autre ombre</t>
  </si>
  <si>
    <t>Vignettes</t>
  </si>
  <si>
    <t>Contenu</t>
  </si>
  <si>
    <t>taille 1140px</t>
  </si>
  <si>
    <t>4 vignettes au lancement de la page</t>
  </si>
  <si>
    <t>seulement 4 vignettes sont chargées</t>
  </si>
  <si>
    <t>Au scroll, 2 vignettes supplémentaires se chargent</t>
  </si>
  <si>
    <t>2 vignettes jusqu'à la fin</t>
  </si>
  <si>
    <t>Largeur de la vignette</t>
  </si>
  <si>
    <t>400px</t>
  </si>
  <si>
    <t>Lien sur la vignette</t>
  </si>
  <si>
    <t>se dirige sur le site de la station en _blank</t>
  </si>
  <si>
    <t>Bords arrdonis de la vignette (2%)</t>
  </si>
  <si>
    <t>Les images sont redimentionnés avant l'affichage</t>
  </si>
  <si>
    <t>Soit par PHP, soit en amont</t>
  </si>
  <si>
    <t>Titre de la vignette sur fond noir 50%</t>
  </si>
  <si>
    <t>Sous-titre, centré, gras et italique</t>
  </si>
  <si>
    <t>centré, gras et italic</t>
  </si>
  <si>
    <t>Espacement de 30px entre le sous-titre et le texte</t>
  </si>
  <si>
    <t>30px</t>
  </si>
  <si>
    <t>Icone - affichage uniquement des icones de la DB</t>
  </si>
  <si>
    <t>0,1,2,3</t>
  </si>
  <si>
    <t>Disposition des icônes selon leur nombre</t>
  </si>
  <si>
    <t>displey flex : space-around</t>
  </si>
  <si>
    <t>Couleur de fond</t>
  </si>
  <si>
    <t>Couleur hover de la vignette, aussi sur l'image</t>
  </si>
  <si>
    <t>Footer</t>
  </si>
  <si>
    <t>Footer - fond</t>
  </si>
  <si>
    <t>Footer - titre et liste des stations</t>
  </si>
  <si>
    <t>titre et liste des stations</t>
  </si>
  <si>
    <t>A appliqué un autre alignement</t>
  </si>
  <si>
    <t>Footer - lien sur chaque station (ancre)</t>
  </si>
  <si>
    <t>chaque vignette a un lien ancre</t>
  </si>
  <si>
    <t>Footer - espace en dessous (10px)</t>
  </si>
  <si>
    <t>10px</t>
  </si>
  <si>
    <t>Footer - disposition des stations (par 5)</t>
  </si>
  <si>
    <t>POINTS</t>
  </si>
  <si>
    <t>Obtenus</t>
  </si>
  <si>
    <t>points max / points obtenus / 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</si>
</sst>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>
    <font>
      <sz val="10"/>
      <name val="Arial"/>
    </font>
    <font>
      <sz val="8"/>
      <name val="Comic Sans MS"/>
      <family val="4"/>
    </font>
    <font>
      <sz val="9"/>
      <name val="Comic Sans MS"/>
      <family val="4"/>
    </font>
    <font>
      <b/>
      <sz val="9"/>
      <name val="Comic Sans MS"/>
      <family val="4"/>
    </font>
    <font>
      <i/>
      <sz val="9"/>
      <name val="Comic Sans MS"/>
      <family val="4"/>
    </font>
    <font>
      <sz val="10"/>
      <name val="Comic Sans MS"/>
      <family val="4"/>
    </font>
    <font>
      <b/>
      <sz val="10"/>
      <name val="Comic Sans MS"/>
      <family val="4"/>
    </font>
    <font>
      <b/>
      <sz val="11"/>
      <name val="Comic Sans MS"/>
      <family val="4"/>
    </font>
    <font>
      <sz val="1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i/>
      <sz val="10"/>
      <color rgb="FFFF0000"/>
      <name val="Arial"/>
      <family val="2"/>
    </font>
    <font>
      <b/>
      <sz val="10"/>
      <name val="Arial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name val="Calibri"/>
      <family val="2"/>
      <scheme val="minor"/>
    </font>
    <font>
      <sz val="12"/>
      <name val="Comic Sans MS"/>
      <family val="4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</borders>
  <cellStyleXfs count="3">
    <xf numFmtId="0" fontId="0" fillId="0" borderId="0"/>
    <xf numFmtId="0" fontId="8" fillId="0" borderId="0"/>
    <xf numFmtId="0" fontId="22" fillId="0" borderId="0"/>
  </cellStyleXfs>
  <cellXfs count="74">
    <xf numFmtId="0" fontId="0" fillId="0" borderId="0" xfId="0"/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0" fillId="0" borderId="0" xfId="0" applyAlignment="1" applyProtection="1">
      <alignment horizontal="center" vertical="center" wrapText="1"/>
      <protection locked="0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 wrapText="1"/>
    </xf>
    <xf numFmtId="0" fontId="5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1" fillId="0" borderId="0" xfId="0" applyFont="1" applyAlignment="1">
      <alignment wrapText="1"/>
    </xf>
    <xf numFmtId="0" fontId="6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2" borderId="0" xfId="0" applyFont="1" applyFill="1" applyAlignment="1">
      <alignment vertical="center" wrapText="1"/>
    </xf>
    <xf numFmtId="0" fontId="0" fillId="5" borderId="0" xfId="0" applyFill="1" applyAlignment="1" applyProtection="1">
      <alignment horizontal="center" vertical="center" wrapText="1"/>
      <protection locked="0"/>
    </xf>
    <xf numFmtId="0" fontId="5" fillId="5" borderId="0" xfId="0" applyFont="1" applyFill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wrapText="1"/>
    </xf>
    <xf numFmtId="0" fontId="4" fillId="2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vertical="center"/>
    </xf>
    <xf numFmtId="0" fontId="12" fillId="0" borderId="8" xfId="0" applyFont="1" applyBorder="1" applyAlignment="1">
      <alignment horizontal="center" vertical="center"/>
    </xf>
    <xf numFmtId="0" fontId="12" fillId="6" borderId="8" xfId="0" applyFont="1" applyFill="1" applyBorder="1" applyAlignment="1">
      <alignment horizontal="center" vertical="center"/>
    </xf>
    <xf numFmtId="0" fontId="12" fillId="6" borderId="0" xfId="0" applyFont="1" applyFill="1" applyAlignment="1">
      <alignment vertical="top" wrapText="1"/>
    </xf>
    <xf numFmtId="2" fontId="0" fillId="6" borderId="0" xfId="0" applyNumberFormat="1" applyFill="1" applyAlignment="1">
      <alignment horizontal="left"/>
    </xf>
    <xf numFmtId="0" fontId="12" fillId="6" borderId="8" xfId="0" applyFont="1" applyFill="1" applyBorder="1" applyAlignment="1">
      <alignment horizontal="center" vertical="top" wrapText="1"/>
    </xf>
    <xf numFmtId="0" fontId="13" fillId="6" borderId="0" xfId="0" applyFont="1" applyFill="1" applyAlignment="1">
      <alignment horizontal="right" vertical="center" wrapText="1"/>
    </xf>
    <xf numFmtId="2" fontId="14" fillId="7" borderId="5" xfId="0" applyNumberFormat="1" applyFont="1" applyFill="1" applyBorder="1" applyAlignment="1">
      <alignment horizontal="center" vertical="center"/>
    </xf>
    <xf numFmtId="0" fontId="0" fillId="0" borderId="8" xfId="0" applyBorder="1" applyAlignment="1" applyProtection="1">
      <alignment horizontal="center" vertical="center"/>
      <protection locked="0"/>
    </xf>
    <xf numFmtId="0" fontId="17" fillId="3" borderId="0" xfId="0" applyFont="1" applyFill="1" applyAlignment="1">
      <alignment vertical="center" wrapText="1"/>
    </xf>
    <xf numFmtId="0" fontId="17" fillId="3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19" fillId="3" borderId="0" xfId="0" applyFont="1" applyFill="1" applyAlignment="1">
      <alignment vertical="center"/>
    </xf>
    <xf numFmtId="0" fontId="17" fillId="0" borderId="0" xfId="0" applyFont="1" applyAlignment="1">
      <alignment horizontal="center" vertical="center" wrapText="1"/>
    </xf>
    <xf numFmtId="0" fontId="20" fillId="9" borderId="0" xfId="0" applyFont="1" applyFill="1" applyAlignment="1">
      <alignment horizontal="center" vertical="center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0" fillId="4" borderId="0" xfId="0" applyFont="1" applyFill="1" applyAlignment="1">
      <alignment vertical="center"/>
    </xf>
    <xf numFmtId="0" fontId="20" fillId="8" borderId="0" xfId="0" applyFont="1" applyFill="1" applyAlignment="1">
      <alignment horizontal="center" vertical="center"/>
    </xf>
    <xf numFmtId="0" fontId="20" fillId="3" borderId="0" xfId="0" applyFont="1" applyFill="1" applyAlignment="1">
      <alignment vertical="center"/>
    </xf>
    <xf numFmtId="0" fontId="17" fillId="3" borderId="0" xfId="0" applyFont="1" applyFill="1" applyAlignment="1">
      <alignment horizontal="center" vertical="center"/>
    </xf>
    <xf numFmtId="0" fontId="16" fillId="4" borderId="0" xfId="0" applyFont="1" applyFill="1" applyAlignment="1" applyProtection="1">
      <alignment vertical="center"/>
      <protection locked="0"/>
    </xf>
    <xf numFmtId="0" fontId="16" fillId="4" borderId="0" xfId="0" applyFont="1" applyFill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2" fontId="16" fillId="8" borderId="0" xfId="0" applyNumberFormat="1" applyFont="1" applyFill="1" applyAlignment="1">
      <alignment horizontal="center" vertical="center" wrapText="1"/>
    </xf>
    <xf numFmtId="164" fontId="15" fillId="9" borderId="0" xfId="0" applyNumberFormat="1" applyFont="1" applyFill="1" applyAlignment="1">
      <alignment horizontal="center" vertical="center"/>
    </xf>
    <xf numFmtId="0" fontId="21" fillId="0" borderId="1" xfId="0" applyFont="1" applyBorder="1" applyAlignment="1">
      <alignment vertical="center"/>
    </xf>
    <xf numFmtId="2" fontId="16" fillId="8" borderId="0" xfId="0" applyNumberFormat="1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1" fillId="5" borderId="0" xfId="0" quotePrefix="1" applyFont="1" applyFill="1" applyAlignment="1">
      <alignment vertical="center" wrapText="1"/>
    </xf>
    <xf numFmtId="0" fontId="1" fillId="0" borderId="0" xfId="0" quotePrefix="1" applyFont="1" applyAlignment="1">
      <alignment vertical="center" wrapText="1"/>
    </xf>
    <xf numFmtId="0" fontId="0" fillId="5" borderId="0" xfId="0" applyFill="1" applyAlignment="1">
      <alignment vertical="center" wrapText="1"/>
    </xf>
    <xf numFmtId="0" fontId="12" fillId="5" borderId="8" xfId="0" applyFont="1" applyFill="1" applyBorder="1" applyAlignment="1">
      <alignment horizontal="center" vertic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top" wrapText="1"/>
    </xf>
    <xf numFmtId="9" fontId="1" fillId="5" borderId="0" xfId="0" applyNumberFormat="1" applyFont="1" applyFill="1" applyAlignment="1">
      <alignment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4</xdr:row>
          <xdr:rowOff>28575</xdr:rowOff>
        </xdr:from>
        <xdr:to>
          <xdr:col>5</xdr:col>
          <xdr:colOff>0</xdr:colOff>
          <xdr:row>6</xdr:row>
          <xdr:rowOff>133350</xdr:rowOff>
        </xdr:to>
        <xdr:sp macro="" textlink="">
          <xdr:nvSpPr>
            <xdr:cNvPr id="6147" name="btnGenerationStuden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E30"/>
  <sheetViews>
    <sheetView tabSelected="1" zoomScale="130" zoomScaleNormal="130" workbookViewId="0">
      <selection activeCell="B3" sqref="B3"/>
    </sheetView>
  </sheetViews>
  <sheetFormatPr defaultColWidth="11.42578125" defaultRowHeight="12.75"/>
  <cols>
    <col min="1" max="1" width="25.7109375" style="49" customWidth="1"/>
    <col min="2" max="2" width="25.7109375" style="50" customWidth="1"/>
    <col min="3" max="3" width="16.28515625" style="49" customWidth="1"/>
    <col min="4" max="4" width="25.7109375" style="52" customWidth="1"/>
    <col min="5" max="5" width="25.7109375" style="48" customWidth="1"/>
    <col min="6" max="16384" width="11.42578125" style="44"/>
  </cols>
  <sheetData>
    <row r="1" spans="1:5" s="48" customFormat="1">
      <c r="A1" s="55" t="s">
        <v>0</v>
      </c>
      <c r="B1" s="56"/>
      <c r="C1" s="43"/>
      <c r="D1" s="42"/>
      <c r="E1" s="43"/>
    </row>
    <row r="2" spans="1:5" s="48" customFormat="1">
      <c r="A2" s="45"/>
      <c r="B2" s="56"/>
      <c r="C2" s="43"/>
      <c r="D2" s="43"/>
      <c r="E2" s="43"/>
    </row>
    <row r="3" spans="1:5">
      <c r="A3" s="44"/>
      <c r="B3" s="44"/>
      <c r="C3" s="46"/>
      <c r="D3" s="44"/>
      <c r="E3" s="44"/>
    </row>
    <row r="4" spans="1:5">
      <c r="A4" s="59" t="s">
        <v>1</v>
      </c>
      <c r="B4" s="44"/>
      <c r="C4" s="46"/>
      <c r="D4" s="44"/>
      <c r="E4" s="44"/>
    </row>
    <row r="5" spans="1:5" s="48" customFormat="1">
      <c r="A5" s="53" t="s">
        <v>2</v>
      </c>
      <c r="B5" s="53" t="s">
        <v>3</v>
      </c>
      <c r="C5" s="54" t="s">
        <v>4</v>
      </c>
      <c r="D5" s="47" t="s">
        <v>5</v>
      </c>
    </row>
    <row r="6" spans="1:5" s="49" customFormat="1" ht="12">
      <c r="A6" s="57"/>
      <c r="B6" s="57"/>
      <c r="C6" s="60"/>
      <c r="D6" s="61" t="str">
        <f>IF(C6&lt;&gt;"",ROUND(C6*2,0)/2,"")</f>
        <v/>
      </c>
    </row>
    <row r="7" spans="1:5" s="49" customFormat="1" ht="12">
      <c r="A7" s="57"/>
      <c r="B7" s="57"/>
      <c r="C7" s="60"/>
      <c r="D7" s="61" t="str">
        <f t="shared" ref="D7:D29" si="0">IF(C7&lt;&gt;"",ROUND(C7*2,0)/2,"")</f>
        <v/>
      </c>
    </row>
    <row r="8" spans="1:5" s="49" customFormat="1" ht="12">
      <c r="A8" s="57"/>
      <c r="B8" s="57"/>
      <c r="C8" s="60"/>
      <c r="D8" s="61" t="str">
        <f t="shared" si="0"/>
        <v/>
      </c>
    </row>
    <row r="9" spans="1:5" s="49" customFormat="1" ht="12">
      <c r="A9" s="57"/>
      <c r="B9" s="57"/>
      <c r="C9" s="60"/>
      <c r="D9" s="61" t="str">
        <f t="shared" si="0"/>
        <v/>
      </c>
    </row>
    <row r="10" spans="1:5" s="49" customFormat="1" ht="12">
      <c r="A10" s="57"/>
      <c r="B10" s="57"/>
      <c r="C10" s="60"/>
      <c r="D10" s="61" t="str">
        <f t="shared" si="0"/>
        <v/>
      </c>
    </row>
    <row r="11" spans="1:5" s="49" customFormat="1" ht="12">
      <c r="A11" s="57"/>
      <c r="B11" s="57"/>
      <c r="C11" s="60"/>
      <c r="D11" s="61" t="str">
        <f t="shared" si="0"/>
        <v/>
      </c>
    </row>
    <row r="12" spans="1:5" s="49" customFormat="1" ht="12">
      <c r="A12" s="57"/>
      <c r="B12" s="57"/>
      <c r="C12" s="63"/>
      <c r="D12" s="61" t="str">
        <f t="shared" si="0"/>
        <v/>
      </c>
    </row>
    <row r="13" spans="1:5" s="49" customFormat="1" ht="12">
      <c r="A13" s="57"/>
      <c r="B13" s="57"/>
      <c r="C13" s="63"/>
      <c r="D13" s="61" t="str">
        <f t="shared" si="0"/>
        <v/>
      </c>
    </row>
    <row r="14" spans="1:5" s="49" customFormat="1" ht="12">
      <c r="A14" s="57"/>
      <c r="B14" s="57"/>
      <c r="C14" s="63"/>
      <c r="D14" s="61" t="str">
        <f t="shared" si="0"/>
        <v/>
      </c>
    </row>
    <row r="15" spans="1:5" s="49" customFormat="1" ht="12">
      <c r="A15" s="57"/>
      <c r="B15" s="57"/>
      <c r="C15" s="63"/>
      <c r="D15" s="61" t="str">
        <f t="shared" si="0"/>
        <v/>
      </c>
    </row>
    <row r="16" spans="1:5" s="49" customFormat="1" ht="12">
      <c r="A16" s="57"/>
      <c r="B16" s="57"/>
      <c r="C16" s="63"/>
      <c r="D16" s="61" t="str">
        <f t="shared" si="0"/>
        <v/>
      </c>
    </row>
    <row r="17" spans="1:4" s="49" customFormat="1" ht="12">
      <c r="A17" s="57"/>
      <c r="B17" s="57"/>
      <c r="C17" s="63"/>
      <c r="D17" s="61" t="str">
        <f t="shared" si="0"/>
        <v/>
      </c>
    </row>
    <row r="18" spans="1:4" s="49" customFormat="1" ht="12">
      <c r="A18" s="57"/>
      <c r="B18" s="57"/>
      <c r="C18" s="63"/>
      <c r="D18" s="61" t="str">
        <f t="shared" si="0"/>
        <v/>
      </c>
    </row>
    <row r="19" spans="1:4" s="49" customFormat="1" ht="12">
      <c r="A19" s="57"/>
      <c r="B19" s="57"/>
      <c r="C19" s="63"/>
      <c r="D19" s="61" t="str">
        <f t="shared" si="0"/>
        <v/>
      </c>
    </row>
    <row r="20" spans="1:4" s="49" customFormat="1" ht="12">
      <c r="A20" s="57"/>
      <c r="B20" s="57"/>
      <c r="C20" s="63"/>
      <c r="D20" s="61" t="str">
        <f t="shared" si="0"/>
        <v/>
      </c>
    </row>
    <row r="21" spans="1:4" s="49" customFormat="1" ht="12">
      <c r="A21" s="57"/>
      <c r="B21" s="57"/>
      <c r="C21" s="63"/>
      <c r="D21" s="61" t="str">
        <f t="shared" si="0"/>
        <v/>
      </c>
    </row>
    <row r="22" spans="1:4" s="49" customFormat="1" ht="12">
      <c r="A22" s="57"/>
      <c r="B22" s="57"/>
      <c r="C22" s="63"/>
      <c r="D22" s="61" t="str">
        <f t="shared" si="0"/>
        <v/>
      </c>
    </row>
    <row r="23" spans="1:4" s="49" customFormat="1" ht="12">
      <c r="A23" s="57"/>
      <c r="B23" s="57"/>
      <c r="C23" s="63"/>
      <c r="D23" s="61" t="str">
        <f t="shared" si="0"/>
        <v/>
      </c>
    </row>
    <row r="24" spans="1:4" s="49" customFormat="1" ht="12">
      <c r="A24" s="57"/>
      <c r="B24" s="57"/>
      <c r="C24" s="63"/>
      <c r="D24" s="61" t="str">
        <f t="shared" si="0"/>
        <v/>
      </c>
    </row>
    <row r="25" spans="1:4" s="49" customFormat="1" ht="12">
      <c r="A25" s="57"/>
      <c r="B25" s="57"/>
      <c r="C25" s="63"/>
      <c r="D25" s="61" t="str">
        <f t="shared" si="0"/>
        <v/>
      </c>
    </row>
    <row r="26" spans="1:4" s="49" customFormat="1" ht="12">
      <c r="A26" s="57"/>
      <c r="B26" s="57"/>
      <c r="C26" s="63"/>
      <c r="D26" s="61" t="str">
        <f t="shared" si="0"/>
        <v/>
      </c>
    </row>
    <row r="27" spans="1:4" s="49" customFormat="1" ht="12">
      <c r="A27" s="57"/>
      <c r="B27" s="57"/>
      <c r="C27" s="63"/>
      <c r="D27" s="61" t="str">
        <f t="shared" si="0"/>
        <v/>
      </c>
    </row>
    <row r="28" spans="1:4" s="49" customFormat="1" ht="12">
      <c r="A28" s="57"/>
      <c r="B28" s="58"/>
      <c r="C28" s="64"/>
      <c r="D28" s="61" t="str">
        <f t="shared" si="0"/>
        <v/>
      </c>
    </row>
    <row r="29" spans="1:4" s="49" customFormat="1" ht="12">
      <c r="A29" s="57"/>
      <c r="B29" s="58"/>
      <c r="C29" s="64"/>
      <c r="D29" s="61" t="str">
        <f t="shared" si="0"/>
        <v/>
      </c>
    </row>
    <row r="30" spans="1:4" s="49" customFormat="1" ht="12">
      <c r="B30" s="50"/>
      <c r="C30" s="51" t="e">
        <f>AVERAGE(C6:C29)</f>
        <v>#DIV/0!</v>
      </c>
      <c r="D30" s="51" t="e">
        <f>AVERAGE(D6:D29)</f>
        <v>#DIV/0!</v>
      </c>
    </row>
  </sheetData>
  <dataValidations disablePrompts="1" count="1">
    <dataValidation type="list" allowBlank="1" showInputMessage="1" showErrorMessage="1" sqref="C1:C2" xr:uid="{00000000-0002-0000-0000-000000000000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94" orientation="landscape" r:id="rId1"/>
  <headerFooter alignWithMargins="0">
    <oddHeader>&amp;L&amp;"ETML,Normal"&amp;14&amp;G&amp;C&amp;"Comic Sans MS,Gras"&amp;12&amp;A&amp;R&amp;"Comic Sans MS,Gras"&amp;16I-ch 303</oddHeader>
    <oddFooter>&amp;L&amp;"Comic Sans MS,Normal"&amp;F&amp;R&amp;"Comic Sans MS,Normal"&amp;D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7" r:id="rId5" name="btnGenerationStudent">
          <controlPr defaultSize="0" autoLine="0" autoPict="0" r:id="rId6">
            <anchor moveWithCells="1">
              <from>
                <xdr:col>4</xdr:col>
                <xdr:colOff>209550</xdr:colOff>
                <xdr:row>4</xdr:row>
                <xdr:rowOff>28575</xdr:rowOff>
              </from>
              <to>
                <xdr:col>5</xdr:col>
                <xdr:colOff>0</xdr:colOff>
                <xdr:row>6</xdr:row>
                <xdr:rowOff>133350</xdr:rowOff>
              </to>
            </anchor>
          </controlPr>
        </control>
      </mc:Choice>
      <mc:Fallback>
        <control shapeId="6147" r:id="rId5" name="btnGenerationStud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pageSetUpPr fitToPage="1"/>
  </sheetPr>
  <dimension ref="A1:M25"/>
  <sheetViews>
    <sheetView zoomScale="90" zoomScaleNormal="90" workbookViewId="0">
      <selection activeCell="E4" sqref="E4:E8"/>
    </sheetView>
  </sheetViews>
  <sheetFormatPr defaultColWidth="11.42578125" defaultRowHeight="15"/>
  <cols>
    <col min="1" max="1" width="15.7109375" style="1" customWidth="1"/>
    <col min="2" max="2" width="25.7109375" style="7" customWidth="1"/>
    <col min="3" max="3" width="25.7109375" style="1" customWidth="1"/>
    <col min="4" max="4" width="25.7109375" style="8" customWidth="1"/>
    <col min="5" max="5" width="6.140625" style="8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>
      <c r="A1" s="14" t="s">
        <v>6</v>
      </c>
      <c r="B1" s="15" t="s">
        <v>7</v>
      </c>
      <c r="C1" s="24"/>
      <c r="D1" s="16"/>
      <c r="E1" s="22" t="s">
        <v>8</v>
      </c>
      <c r="F1" s="17"/>
      <c r="G1" s="18"/>
      <c r="H1" s="18"/>
      <c r="I1" s="18"/>
    </row>
    <row r="2" spans="1:13">
      <c r="A2" s="14"/>
      <c r="B2" s="15"/>
      <c r="C2" s="15"/>
      <c r="D2" s="16"/>
      <c r="E2" s="21">
        <v>1</v>
      </c>
      <c r="F2" s="17"/>
      <c r="G2" s="18"/>
      <c r="H2" s="18"/>
      <c r="I2" s="18"/>
    </row>
    <row r="3" spans="1:13" ht="31.5">
      <c r="A3" s="11" t="s">
        <v>9</v>
      </c>
      <c r="B3" s="12" t="s">
        <v>10</v>
      </c>
      <c r="C3" s="13" t="s">
        <v>11</v>
      </c>
      <c r="D3" s="13" t="s">
        <v>12</v>
      </c>
      <c r="E3" s="20" t="s">
        <v>8</v>
      </c>
      <c r="F3" s="19" t="s">
        <v>13</v>
      </c>
      <c r="G3" s="19" t="s">
        <v>14</v>
      </c>
      <c r="H3" s="19" t="s">
        <v>15</v>
      </c>
      <c r="I3" s="19" t="s">
        <v>16</v>
      </c>
      <c r="L3" s="10"/>
      <c r="M3" s="10"/>
    </row>
    <row r="4" spans="1:13" ht="25.5">
      <c r="A4" s="25" t="s">
        <v>17</v>
      </c>
      <c r="B4" s="26" t="s">
        <v>18</v>
      </c>
      <c r="C4" s="26" t="s">
        <v>19</v>
      </c>
      <c r="D4" s="27" t="s">
        <v>20</v>
      </c>
      <c r="E4" s="28">
        <v>1</v>
      </c>
      <c r="F4" s="27" t="s">
        <v>21</v>
      </c>
      <c r="G4" s="65" t="s">
        <v>22</v>
      </c>
      <c r="H4" s="65" t="s">
        <v>23</v>
      </c>
      <c r="I4" s="27" t="s">
        <v>24</v>
      </c>
      <c r="L4" s="10"/>
      <c r="M4" s="10"/>
    </row>
    <row r="5" spans="1:13" ht="90">
      <c r="A5" s="9" t="s">
        <v>17</v>
      </c>
      <c r="B5" s="8" t="s">
        <v>25</v>
      </c>
      <c r="C5" s="8" t="s">
        <v>26</v>
      </c>
      <c r="D5" s="10" t="s">
        <v>27</v>
      </c>
      <c r="E5" s="29">
        <v>1</v>
      </c>
      <c r="F5" s="10" t="s">
        <v>28</v>
      </c>
      <c r="G5" s="66" t="s">
        <v>29</v>
      </c>
      <c r="H5" s="10" t="s">
        <v>30</v>
      </c>
      <c r="I5" s="10" t="s">
        <v>31</v>
      </c>
      <c r="L5" s="10"/>
      <c r="M5" s="10"/>
    </row>
    <row r="6" spans="1:13">
      <c r="A6" s="25" t="s">
        <v>17</v>
      </c>
      <c r="B6" s="26" t="s">
        <v>32</v>
      </c>
      <c r="C6" s="26" t="s">
        <v>33</v>
      </c>
      <c r="D6" s="27" t="s">
        <v>34</v>
      </c>
      <c r="E6" s="28">
        <v>1</v>
      </c>
      <c r="F6" s="27" t="s">
        <v>35</v>
      </c>
      <c r="G6" s="65" t="s">
        <v>36</v>
      </c>
      <c r="H6" s="65" t="s">
        <v>36</v>
      </c>
      <c r="I6" s="27" t="s">
        <v>37</v>
      </c>
      <c r="L6" s="10"/>
      <c r="M6" s="10"/>
    </row>
    <row r="7" spans="1:13" ht="30">
      <c r="A7" s="9" t="s">
        <v>38</v>
      </c>
      <c r="B7" s="8" t="s">
        <v>39</v>
      </c>
      <c r="C7" s="8" t="s">
        <v>40</v>
      </c>
      <c r="D7" s="10" t="s">
        <v>40</v>
      </c>
      <c r="E7" s="29">
        <v>1</v>
      </c>
      <c r="F7" s="10" t="s">
        <v>40</v>
      </c>
      <c r="G7" s="66" t="s">
        <v>22</v>
      </c>
      <c r="H7" s="10" t="s">
        <v>41</v>
      </c>
      <c r="I7" s="10" t="s">
        <v>42</v>
      </c>
      <c r="L7" s="10"/>
      <c r="M7" s="10"/>
    </row>
    <row r="8" spans="1:13" ht="30">
      <c r="A8" s="25" t="s">
        <v>38</v>
      </c>
      <c r="B8" s="26" t="s">
        <v>43</v>
      </c>
      <c r="C8" s="26" t="s">
        <v>44</v>
      </c>
      <c r="D8" s="27" t="s">
        <v>44</v>
      </c>
      <c r="E8" s="28">
        <v>1</v>
      </c>
      <c r="F8" s="27" t="s">
        <v>45</v>
      </c>
      <c r="G8" s="65" t="s">
        <v>36</v>
      </c>
      <c r="H8" s="65" t="s">
        <v>36</v>
      </c>
      <c r="I8" s="27" t="s">
        <v>37</v>
      </c>
      <c r="L8" s="10"/>
      <c r="M8" s="10"/>
    </row>
    <row r="9" spans="1:13">
      <c r="A9" s="3"/>
      <c r="B9" s="3"/>
      <c r="C9" s="9"/>
      <c r="D9" s="3"/>
      <c r="F9" s="3"/>
    </row>
    <row r="10" spans="1:13">
      <c r="A10" s="3"/>
      <c r="B10" s="3"/>
      <c r="C10" s="9"/>
      <c r="D10" s="3"/>
      <c r="F10" s="3"/>
    </row>
    <row r="11" spans="1:13">
      <c r="A11" s="3"/>
      <c r="B11" s="3"/>
      <c r="C11" s="9"/>
      <c r="D11" s="3"/>
      <c r="F11" s="3"/>
    </row>
    <row r="12" spans="1:13">
      <c r="A12" s="3"/>
      <c r="B12" s="3"/>
      <c r="C12" s="9"/>
      <c r="D12" s="3"/>
      <c r="F12" s="3"/>
    </row>
    <row r="13" spans="1:13">
      <c r="A13" s="3"/>
      <c r="B13" s="3"/>
      <c r="C13" s="9"/>
      <c r="D13" s="3"/>
      <c r="F13" s="3"/>
    </row>
    <row r="14" spans="1:13">
      <c r="A14" s="3"/>
      <c r="B14" s="3"/>
      <c r="C14" s="9"/>
      <c r="D14" s="3"/>
      <c r="F14" s="3"/>
    </row>
    <row r="15" spans="1:13">
      <c r="A15" s="3"/>
      <c r="B15" s="3"/>
      <c r="C15" s="9"/>
      <c r="D15" s="3"/>
      <c r="F15" s="3"/>
    </row>
    <row r="16" spans="1:13">
      <c r="A16" s="3"/>
      <c r="B16" s="3"/>
      <c r="C16" s="9"/>
      <c r="D16" s="3"/>
      <c r="F16" s="3"/>
    </row>
    <row r="17" spans="1:6">
      <c r="A17" s="3"/>
      <c r="B17" s="3"/>
      <c r="C17" s="9"/>
      <c r="D17" s="3"/>
      <c r="F17" s="3"/>
    </row>
    <row r="18" spans="1:6">
      <c r="A18" s="3"/>
      <c r="B18" s="3"/>
      <c r="C18" s="9"/>
      <c r="D18" s="3"/>
      <c r="F18" s="3"/>
    </row>
    <row r="19" spans="1:6">
      <c r="A19" s="3"/>
      <c r="B19" s="3"/>
      <c r="C19" s="9"/>
      <c r="D19" s="3"/>
      <c r="F19" s="3"/>
    </row>
    <row r="20" spans="1:6">
      <c r="C20" s="9"/>
      <c r="D20" s="3"/>
      <c r="F20" s="3"/>
    </row>
    <row r="21" spans="1:6">
      <c r="C21" s="9"/>
      <c r="D21" s="3"/>
      <c r="F21" s="3"/>
    </row>
    <row r="22" spans="1:6">
      <c r="C22" s="9"/>
      <c r="D22" s="3"/>
      <c r="F22" s="3"/>
    </row>
    <row r="23" spans="1:6">
      <c r="B23" s="1"/>
      <c r="D23" s="3"/>
      <c r="F23" s="3"/>
    </row>
    <row r="24" spans="1:6">
      <c r="B24" s="1"/>
      <c r="D24" s="3"/>
      <c r="F24" s="3"/>
    </row>
    <row r="25" spans="1:6">
      <c r="A25" s="3"/>
      <c r="B25" s="1"/>
      <c r="D25" s="3"/>
      <c r="F25" s="3"/>
    </row>
  </sheetData>
  <dataValidations count="1">
    <dataValidation type="list" allowBlank="1" showInputMessage="1" showErrorMessage="1" sqref="A4:A8 C9:C22" xr:uid="{00000000-0002-0000-0100-000000000000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>
    <pageSetUpPr fitToPage="1"/>
  </sheetPr>
  <dimension ref="A1:M24"/>
  <sheetViews>
    <sheetView zoomScale="90" zoomScaleNormal="90" workbookViewId="0">
      <selection activeCell="D4" sqref="D4"/>
    </sheetView>
  </sheetViews>
  <sheetFormatPr defaultColWidth="11.42578125" defaultRowHeight="15"/>
  <cols>
    <col min="1" max="1" width="15.7109375" style="1" customWidth="1"/>
    <col min="2" max="2" width="25.7109375" style="7" customWidth="1"/>
    <col min="3" max="3" width="25.7109375" style="1" customWidth="1"/>
    <col min="4" max="4" width="25.7109375" style="8" customWidth="1"/>
    <col min="5" max="5" width="6.140625" style="8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>
      <c r="A1" s="14" t="s">
        <v>6</v>
      </c>
      <c r="B1" s="15" t="s">
        <v>46</v>
      </c>
      <c r="C1" s="24"/>
      <c r="D1" s="16"/>
      <c r="E1" s="22" t="s">
        <v>8</v>
      </c>
      <c r="F1" s="17"/>
      <c r="G1" s="18"/>
      <c r="H1" s="18"/>
      <c r="I1" s="18"/>
    </row>
    <row r="2" spans="1:13">
      <c r="A2" s="14"/>
      <c r="B2" s="15"/>
      <c r="C2" s="15"/>
      <c r="D2" s="16"/>
      <c r="E2" s="21">
        <v>1</v>
      </c>
      <c r="F2" s="17"/>
      <c r="G2" s="18"/>
      <c r="H2" s="18"/>
      <c r="I2" s="18"/>
    </row>
    <row r="3" spans="1:13" ht="31.5">
      <c r="A3" s="11" t="s">
        <v>9</v>
      </c>
      <c r="B3" s="12" t="s">
        <v>10</v>
      </c>
      <c r="C3" s="13" t="s">
        <v>11</v>
      </c>
      <c r="D3" s="13" t="s">
        <v>12</v>
      </c>
      <c r="E3" s="20" t="s">
        <v>8</v>
      </c>
      <c r="F3" s="19" t="s">
        <v>13</v>
      </c>
      <c r="G3" s="19" t="s">
        <v>14</v>
      </c>
      <c r="H3" s="19" t="s">
        <v>15</v>
      </c>
      <c r="I3" s="19" t="s">
        <v>16</v>
      </c>
      <c r="L3" s="10"/>
      <c r="M3" s="10"/>
    </row>
    <row r="4" spans="1:13">
      <c r="A4" s="25" t="s">
        <v>47</v>
      </c>
      <c r="B4" s="26" t="s">
        <v>48</v>
      </c>
      <c r="C4" s="26" t="s">
        <v>19</v>
      </c>
      <c r="D4" s="27" t="s">
        <v>49</v>
      </c>
      <c r="E4" s="28">
        <v>1</v>
      </c>
      <c r="F4" s="27" t="s">
        <v>50</v>
      </c>
      <c r="G4" s="65"/>
      <c r="H4" s="65"/>
      <c r="I4" s="27" t="s">
        <v>51</v>
      </c>
      <c r="L4" s="10"/>
      <c r="M4" s="10"/>
    </row>
    <row r="5" spans="1:13">
      <c r="A5" s="9" t="s">
        <v>47</v>
      </c>
      <c r="B5" s="8" t="s">
        <v>52</v>
      </c>
      <c r="C5" s="8" t="s">
        <v>19</v>
      </c>
      <c r="D5" s="10" t="s">
        <v>53</v>
      </c>
      <c r="E5" s="29">
        <v>1</v>
      </c>
      <c r="F5" s="10" t="s">
        <v>50</v>
      </c>
      <c r="G5" s="66"/>
      <c r="H5" s="10"/>
      <c r="I5" s="10" t="s">
        <v>51</v>
      </c>
      <c r="L5" s="10"/>
      <c r="M5" s="10"/>
    </row>
    <row r="6" spans="1:13">
      <c r="A6" s="25" t="s">
        <v>47</v>
      </c>
      <c r="B6" s="26" t="s">
        <v>54</v>
      </c>
      <c r="C6" s="26" t="s">
        <v>19</v>
      </c>
      <c r="D6" s="27" t="s">
        <v>55</v>
      </c>
      <c r="E6" s="28">
        <v>1</v>
      </c>
      <c r="F6" s="27" t="s">
        <v>50</v>
      </c>
      <c r="G6" s="65"/>
      <c r="H6" s="65"/>
      <c r="I6" s="27" t="s">
        <v>51</v>
      </c>
      <c r="L6" s="10"/>
      <c r="M6" s="10"/>
    </row>
    <row r="7" spans="1:13">
      <c r="A7" s="9" t="s">
        <v>47</v>
      </c>
      <c r="B7" s="8" t="s">
        <v>56</v>
      </c>
      <c r="C7" s="8" t="s">
        <v>19</v>
      </c>
      <c r="D7" s="10" t="s">
        <v>57</v>
      </c>
      <c r="E7" s="29">
        <v>1</v>
      </c>
      <c r="F7" s="10" t="s">
        <v>50</v>
      </c>
      <c r="G7" s="66"/>
      <c r="H7" s="10"/>
      <c r="I7" s="10" t="s">
        <v>51</v>
      </c>
      <c r="L7" s="10"/>
      <c r="M7" s="10"/>
    </row>
    <row r="8" spans="1:13">
      <c r="A8" s="25" t="s">
        <v>47</v>
      </c>
      <c r="B8" s="26" t="s">
        <v>58</v>
      </c>
      <c r="C8" s="26" t="s">
        <v>19</v>
      </c>
      <c r="D8" s="27" t="s">
        <v>59</v>
      </c>
      <c r="E8" s="28">
        <v>1</v>
      </c>
      <c r="F8" s="27" t="s">
        <v>50</v>
      </c>
      <c r="G8" s="65"/>
      <c r="H8" s="65"/>
      <c r="I8" s="27" t="s">
        <v>51</v>
      </c>
      <c r="L8" s="10"/>
      <c r="M8" s="10"/>
    </row>
    <row r="9" spans="1:13">
      <c r="A9" s="9" t="s">
        <v>47</v>
      </c>
      <c r="B9" s="8" t="s">
        <v>60</v>
      </c>
      <c r="C9" s="8" t="s">
        <v>19</v>
      </c>
      <c r="D9" s="10" t="s">
        <v>61</v>
      </c>
      <c r="E9" s="29">
        <v>1</v>
      </c>
      <c r="F9" s="10" t="s">
        <v>50</v>
      </c>
      <c r="G9" s="66"/>
      <c r="H9" s="10"/>
      <c r="I9" s="10" t="s">
        <v>51</v>
      </c>
      <c r="L9" s="10"/>
      <c r="M9" s="10"/>
    </row>
    <row r="10" spans="1:13">
      <c r="A10" s="25" t="s">
        <v>47</v>
      </c>
      <c r="B10" s="26" t="s">
        <v>62</v>
      </c>
      <c r="C10" s="26" t="s">
        <v>19</v>
      </c>
      <c r="D10" s="27" t="s">
        <v>63</v>
      </c>
      <c r="E10" s="28">
        <v>1</v>
      </c>
      <c r="F10" s="27" t="s">
        <v>50</v>
      </c>
      <c r="G10" s="65"/>
      <c r="H10" s="65"/>
      <c r="I10" s="27" t="s">
        <v>51</v>
      </c>
      <c r="L10" s="10"/>
      <c r="M10" s="10"/>
    </row>
    <row r="11" spans="1:13">
      <c r="A11" s="3"/>
      <c r="B11" s="3"/>
      <c r="C11" s="9"/>
      <c r="D11" s="3"/>
      <c r="F11" s="3"/>
    </row>
    <row r="12" spans="1:13">
      <c r="A12" s="3"/>
      <c r="B12" s="3"/>
      <c r="C12" s="9"/>
      <c r="D12" s="3"/>
      <c r="F12" s="3"/>
    </row>
    <row r="13" spans="1:13">
      <c r="A13" s="3"/>
      <c r="B13" s="3"/>
      <c r="C13" s="9"/>
      <c r="D13" s="3"/>
      <c r="F13" s="3"/>
    </row>
    <row r="14" spans="1:13">
      <c r="A14" s="3"/>
      <c r="B14" s="3"/>
      <c r="C14" s="9"/>
      <c r="D14" s="3"/>
      <c r="F14" s="3"/>
    </row>
    <row r="15" spans="1:13">
      <c r="A15" s="3"/>
      <c r="B15" s="3"/>
      <c r="C15" s="9"/>
      <c r="D15" s="3"/>
      <c r="F15" s="3"/>
    </row>
    <row r="16" spans="1:13">
      <c r="A16" s="3"/>
      <c r="B16" s="3"/>
      <c r="C16" s="9"/>
      <c r="D16" s="3"/>
      <c r="F16" s="3"/>
    </row>
    <row r="17" spans="1:6">
      <c r="A17" s="3"/>
      <c r="B17" s="3"/>
      <c r="C17" s="9"/>
      <c r="D17" s="3"/>
      <c r="F17" s="3"/>
    </row>
    <row r="18" spans="1:6">
      <c r="A18" s="3"/>
      <c r="B18" s="3"/>
      <c r="C18" s="9"/>
      <c r="D18" s="3"/>
      <c r="F18" s="3"/>
    </row>
    <row r="19" spans="1:6">
      <c r="C19" s="9"/>
      <c r="D19" s="3"/>
      <c r="F19" s="3"/>
    </row>
    <row r="20" spans="1:6">
      <c r="C20" s="9"/>
      <c r="D20" s="3"/>
      <c r="F20" s="3"/>
    </row>
    <row r="21" spans="1:6">
      <c r="C21" s="9"/>
      <c r="D21" s="3"/>
      <c r="F21" s="3"/>
    </row>
    <row r="22" spans="1:6">
      <c r="B22" s="1"/>
      <c r="D22" s="3"/>
      <c r="F22" s="3"/>
    </row>
    <row r="23" spans="1:6">
      <c r="B23" s="1"/>
      <c r="D23" s="3"/>
      <c r="F23" s="3"/>
    </row>
    <row r="24" spans="1:6">
      <c r="A24" s="3"/>
      <c r="B24" s="1"/>
      <c r="D24" s="3"/>
      <c r="F24" s="3"/>
    </row>
  </sheetData>
  <dataValidations count="1">
    <dataValidation type="list" allowBlank="1" showInputMessage="1" showErrorMessage="1" sqref="A4:A10 C11:C21" xr:uid="{00000000-0002-0000-0200-000000000000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61464-E279-4946-8A53-BFC1959EE209}">
  <sheetPr codeName="Feuil10">
    <pageSetUpPr fitToPage="1"/>
  </sheetPr>
  <dimension ref="A1:M16"/>
  <sheetViews>
    <sheetView zoomScale="90" zoomScaleNormal="90" workbookViewId="0">
      <selection activeCell="E4" sqref="E4:E7"/>
    </sheetView>
  </sheetViews>
  <sheetFormatPr defaultColWidth="11.42578125" defaultRowHeight="15"/>
  <cols>
    <col min="1" max="1" width="15.7109375" style="1" customWidth="1"/>
    <col min="2" max="2" width="25.7109375" style="7" customWidth="1"/>
    <col min="3" max="3" width="14.7109375" style="1" bestFit="1" customWidth="1"/>
    <col min="4" max="4" width="36.7109375" style="8" customWidth="1"/>
    <col min="5" max="5" width="6.140625" style="8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>
      <c r="A1" s="14" t="s">
        <v>6</v>
      </c>
      <c r="B1" s="15" t="s">
        <v>64</v>
      </c>
      <c r="C1" s="24"/>
      <c r="D1" s="16"/>
      <c r="E1" s="22" t="s">
        <v>8</v>
      </c>
      <c r="F1" s="17"/>
      <c r="G1" s="18"/>
      <c r="H1" s="18"/>
      <c r="I1" s="18"/>
    </row>
    <row r="2" spans="1:13">
      <c r="A2" s="14"/>
      <c r="B2" s="15"/>
      <c r="C2" s="15"/>
      <c r="D2" s="16"/>
      <c r="E2" s="21">
        <v>1</v>
      </c>
      <c r="F2" s="17"/>
      <c r="G2" s="18"/>
      <c r="H2" s="18"/>
      <c r="I2" s="18"/>
    </row>
    <row r="3" spans="1:13" ht="31.5">
      <c r="A3" s="11" t="s">
        <v>9</v>
      </c>
      <c r="B3" s="12" t="s">
        <v>10</v>
      </c>
      <c r="C3" s="13" t="s">
        <v>11</v>
      </c>
      <c r="D3" s="13" t="s">
        <v>12</v>
      </c>
      <c r="E3" s="20" t="s">
        <v>8</v>
      </c>
      <c r="F3" s="19" t="s">
        <v>13</v>
      </c>
      <c r="G3" s="19" t="s">
        <v>14</v>
      </c>
      <c r="H3" s="19" t="s">
        <v>15</v>
      </c>
      <c r="I3" s="19" t="s">
        <v>16</v>
      </c>
      <c r="L3" s="10"/>
      <c r="M3" s="10"/>
    </row>
    <row r="4" spans="1:13" ht="25.5">
      <c r="A4" s="9" t="s">
        <v>38</v>
      </c>
      <c r="B4" s="8" t="s">
        <v>65</v>
      </c>
      <c r="C4" s="8" t="s">
        <v>19</v>
      </c>
      <c r="D4" s="10" t="s">
        <v>66</v>
      </c>
      <c r="E4" s="29">
        <v>1</v>
      </c>
      <c r="F4" s="10" t="s">
        <v>21</v>
      </c>
      <c r="G4" s="66"/>
      <c r="H4" s="10" t="s">
        <v>67</v>
      </c>
      <c r="I4" s="10" t="s">
        <v>68</v>
      </c>
      <c r="L4" s="10"/>
      <c r="M4" s="10"/>
    </row>
    <row r="5" spans="1:13" ht="25.5">
      <c r="A5" s="25" t="s">
        <v>38</v>
      </c>
      <c r="B5" s="26" t="s">
        <v>69</v>
      </c>
      <c r="C5" s="26" t="s">
        <v>19</v>
      </c>
      <c r="D5" s="27" t="s">
        <v>70</v>
      </c>
      <c r="E5" s="28">
        <v>1</v>
      </c>
      <c r="F5" s="27" t="s">
        <v>21</v>
      </c>
      <c r="G5" s="65" t="s">
        <v>22</v>
      </c>
      <c r="H5" s="65" t="s">
        <v>23</v>
      </c>
      <c r="I5" s="27" t="s">
        <v>71</v>
      </c>
      <c r="L5" s="10"/>
      <c r="M5" s="10"/>
    </row>
    <row r="6" spans="1:13" ht="25.5">
      <c r="A6" s="9" t="s">
        <v>38</v>
      </c>
      <c r="B6" s="8" t="s">
        <v>72</v>
      </c>
      <c r="C6" s="8" t="s">
        <v>19</v>
      </c>
      <c r="D6" s="10" t="s">
        <v>73</v>
      </c>
      <c r="E6" s="29">
        <v>1</v>
      </c>
      <c r="F6" s="10" t="s">
        <v>21</v>
      </c>
      <c r="G6" s="66"/>
      <c r="H6" s="10" t="s">
        <v>67</v>
      </c>
      <c r="I6" s="10" t="s">
        <v>68</v>
      </c>
      <c r="L6" s="10"/>
      <c r="M6" s="10"/>
    </row>
    <row r="7" spans="1:13" ht="30">
      <c r="A7" s="25" t="s">
        <v>38</v>
      </c>
      <c r="B7" s="26" t="s">
        <v>74</v>
      </c>
      <c r="C7" s="26" t="s">
        <v>19</v>
      </c>
      <c r="D7" s="27" t="s">
        <v>75</v>
      </c>
      <c r="E7" s="28">
        <v>1</v>
      </c>
      <c r="F7" s="27" t="s">
        <v>21</v>
      </c>
      <c r="G7" s="65" t="s">
        <v>22</v>
      </c>
      <c r="H7" s="65" t="s">
        <v>23</v>
      </c>
      <c r="I7" s="27" t="s">
        <v>71</v>
      </c>
      <c r="L7" s="10"/>
      <c r="M7" s="10"/>
    </row>
    <row r="8" spans="1:13">
      <c r="A8" s="3"/>
      <c r="B8" s="3"/>
      <c r="C8" s="9"/>
      <c r="D8" s="3"/>
      <c r="F8" s="3"/>
    </row>
    <row r="9" spans="1:13">
      <c r="A9" s="3"/>
      <c r="B9" s="3"/>
      <c r="C9" s="9"/>
      <c r="D9" s="3"/>
      <c r="F9" s="3"/>
    </row>
    <row r="10" spans="1:13">
      <c r="A10" s="3"/>
      <c r="B10" s="3"/>
      <c r="C10" s="9"/>
      <c r="D10" s="3"/>
      <c r="F10" s="3"/>
    </row>
    <row r="11" spans="1:13">
      <c r="C11" s="9"/>
      <c r="D11" s="3"/>
      <c r="F11" s="3"/>
    </row>
    <row r="12" spans="1:13">
      <c r="C12" s="9"/>
      <c r="D12" s="3"/>
      <c r="F12" s="3"/>
    </row>
    <row r="13" spans="1:13">
      <c r="C13" s="9"/>
      <c r="D13" s="3"/>
      <c r="F13" s="3"/>
    </row>
    <row r="14" spans="1:13">
      <c r="B14" s="1"/>
      <c r="D14" s="3"/>
      <c r="F14" s="3"/>
    </row>
    <row r="15" spans="1:13">
      <c r="B15" s="1"/>
      <c r="D15" s="3"/>
      <c r="F15" s="3"/>
    </row>
    <row r="16" spans="1:13">
      <c r="A16" s="3"/>
      <c r="B16" s="1"/>
      <c r="D16" s="3"/>
      <c r="F16" s="3"/>
    </row>
  </sheetData>
  <dataValidations count="1">
    <dataValidation type="list" allowBlank="1" showInputMessage="1" showErrorMessage="1" sqref="A4:A7 C8:C13" xr:uid="{D77F94F3-F9FE-4108-BF16-701035BD2FE1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28CB-F84E-4EDD-8FAC-FF1F19D4634B}">
  <sheetPr codeName="Feuil11">
    <pageSetUpPr fitToPage="1"/>
  </sheetPr>
  <dimension ref="A1:M21"/>
  <sheetViews>
    <sheetView zoomScale="90" zoomScaleNormal="90" workbookViewId="0">
      <selection activeCell="E4" sqref="E4:E10"/>
    </sheetView>
  </sheetViews>
  <sheetFormatPr defaultColWidth="11.42578125" defaultRowHeight="15"/>
  <cols>
    <col min="1" max="1" width="15.7109375" style="1" customWidth="1"/>
    <col min="2" max="2" width="25.7109375" style="7" customWidth="1"/>
    <col min="3" max="3" width="14.7109375" style="1" bestFit="1" customWidth="1"/>
    <col min="4" max="4" width="36.7109375" style="8" customWidth="1"/>
    <col min="5" max="5" width="6.140625" style="8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>
      <c r="A1" s="14" t="s">
        <v>6</v>
      </c>
      <c r="B1" s="15" t="s">
        <v>76</v>
      </c>
      <c r="C1" s="24"/>
      <c r="D1" s="16"/>
      <c r="E1" s="22" t="s">
        <v>8</v>
      </c>
      <c r="F1" s="17"/>
      <c r="G1" s="18"/>
      <c r="H1" s="18"/>
      <c r="I1" s="18"/>
    </row>
    <row r="2" spans="1:13">
      <c r="A2" s="14"/>
      <c r="B2" s="15"/>
      <c r="C2" s="15"/>
      <c r="D2" s="16"/>
      <c r="E2" s="21">
        <v>1</v>
      </c>
      <c r="F2" s="17"/>
      <c r="G2" s="18"/>
      <c r="H2" s="18"/>
      <c r="I2" s="18"/>
    </row>
    <row r="3" spans="1:13" ht="31.5">
      <c r="A3" s="11" t="s">
        <v>9</v>
      </c>
      <c r="B3" s="12" t="s">
        <v>10</v>
      </c>
      <c r="C3" s="13" t="s">
        <v>11</v>
      </c>
      <c r="D3" s="13" t="s">
        <v>12</v>
      </c>
      <c r="E3" s="20" t="s">
        <v>8</v>
      </c>
      <c r="F3" s="19" t="s">
        <v>13</v>
      </c>
      <c r="G3" s="19" t="s">
        <v>14</v>
      </c>
      <c r="H3" s="19" t="s">
        <v>15</v>
      </c>
      <c r="I3" s="19" t="s">
        <v>16</v>
      </c>
      <c r="L3" s="10"/>
      <c r="M3" s="10"/>
    </row>
    <row r="4" spans="1:13">
      <c r="A4" s="9" t="s">
        <v>38</v>
      </c>
      <c r="B4" s="8" t="s">
        <v>77</v>
      </c>
      <c r="C4" s="8" t="s">
        <v>19</v>
      </c>
      <c r="D4" s="10" t="s">
        <v>78</v>
      </c>
      <c r="E4" s="29">
        <v>1</v>
      </c>
      <c r="F4" s="10" t="s">
        <v>21</v>
      </c>
      <c r="G4" s="66"/>
      <c r="H4" s="10" t="s">
        <v>79</v>
      </c>
      <c r="I4" s="10" t="s">
        <v>68</v>
      </c>
      <c r="L4" s="10"/>
      <c r="M4" s="10"/>
    </row>
    <row r="5" spans="1:13">
      <c r="A5" s="25" t="s">
        <v>38</v>
      </c>
      <c r="B5" s="26" t="s">
        <v>80</v>
      </c>
      <c r="C5" s="26" t="s">
        <v>19</v>
      </c>
      <c r="D5" s="27" t="s">
        <v>81</v>
      </c>
      <c r="E5" s="28">
        <v>1</v>
      </c>
      <c r="F5" s="27" t="s">
        <v>21</v>
      </c>
      <c r="G5" s="65"/>
      <c r="H5" s="65" t="s">
        <v>82</v>
      </c>
      <c r="I5" s="27" t="s">
        <v>68</v>
      </c>
      <c r="L5" s="10"/>
      <c r="M5" s="10"/>
    </row>
    <row r="6" spans="1:13" ht="30">
      <c r="A6" s="9" t="s">
        <v>38</v>
      </c>
      <c r="B6" s="8" t="s">
        <v>83</v>
      </c>
      <c r="C6" s="8" t="s">
        <v>19</v>
      </c>
      <c r="D6" s="10" t="s">
        <v>84</v>
      </c>
      <c r="E6" s="29">
        <v>1</v>
      </c>
      <c r="F6" s="10" t="s">
        <v>21</v>
      </c>
      <c r="G6" s="66"/>
      <c r="H6" s="10" t="s">
        <v>82</v>
      </c>
      <c r="I6" s="10" t="s">
        <v>68</v>
      </c>
      <c r="L6" s="10"/>
      <c r="M6" s="10"/>
    </row>
    <row r="7" spans="1:13" ht="30">
      <c r="A7" s="25" t="s">
        <v>38</v>
      </c>
      <c r="B7" s="26" t="s">
        <v>85</v>
      </c>
      <c r="C7" s="26" t="s">
        <v>19</v>
      </c>
      <c r="D7" s="27" t="s">
        <v>86</v>
      </c>
      <c r="E7" s="28">
        <v>1</v>
      </c>
      <c r="F7" s="27" t="s">
        <v>21</v>
      </c>
      <c r="G7" s="65" t="s">
        <v>87</v>
      </c>
      <c r="H7" s="65" t="s">
        <v>88</v>
      </c>
      <c r="I7" s="27" t="s">
        <v>68</v>
      </c>
      <c r="L7" s="10"/>
      <c r="M7" s="10"/>
    </row>
    <row r="8" spans="1:13">
      <c r="A8" s="9" t="s">
        <v>38</v>
      </c>
      <c r="B8" s="8" t="s">
        <v>89</v>
      </c>
      <c r="C8" s="8" t="s">
        <v>19</v>
      </c>
      <c r="D8" s="10" t="s">
        <v>90</v>
      </c>
      <c r="E8" s="29">
        <v>1</v>
      </c>
      <c r="F8" s="10" t="s">
        <v>21</v>
      </c>
      <c r="G8" s="66"/>
      <c r="H8" s="10" t="s">
        <v>82</v>
      </c>
      <c r="I8" s="10" t="s">
        <v>68</v>
      </c>
      <c r="L8" s="10"/>
      <c r="M8" s="10"/>
    </row>
    <row r="9" spans="1:13">
      <c r="A9" s="25" t="s">
        <v>38</v>
      </c>
      <c r="B9" s="26" t="s">
        <v>91</v>
      </c>
      <c r="C9" s="26" t="s">
        <v>19</v>
      </c>
      <c r="D9" s="27" t="s">
        <v>92</v>
      </c>
      <c r="E9" s="28">
        <v>1</v>
      </c>
      <c r="F9" s="27" t="s">
        <v>21</v>
      </c>
      <c r="G9" s="65" t="s">
        <v>87</v>
      </c>
      <c r="H9" s="65" t="s">
        <v>88</v>
      </c>
      <c r="I9" s="27" t="s">
        <v>68</v>
      </c>
      <c r="L9" s="10"/>
      <c r="M9" s="10"/>
    </row>
    <row r="10" spans="1:13" ht="30">
      <c r="A10" s="9" t="s">
        <v>38</v>
      </c>
      <c r="B10" s="8" t="s">
        <v>93</v>
      </c>
      <c r="C10" s="8" t="s">
        <v>19</v>
      </c>
      <c r="D10" s="10" t="s">
        <v>94</v>
      </c>
      <c r="E10" s="29">
        <v>1</v>
      </c>
      <c r="F10" s="10" t="s">
        <v>21</v>
      </c>
      <c r="G10" s="66"/>
      <c r="H10" s="10" t="s">
        <v>95</v>
      </c>
      <c r="I10" s="10" t="s">
        <v>68</v>
      </c>
      <c r="L10" s="10"/>
      <c r="M10" s="10"/>
    </row>
    <row r="11" spans="1:13">
      <c r="A11" s="3"/>
      <c r="B11" s="3"/>
      <c r="C11" s="9"/>
      <c r="D11" s="3"/>
      <c r="F11" s="3"/>
    </row>
    <row r="12" spans="1:13">
      <c r="A12" s="3"/>
      <c r="B12" s="3"/>
      <c r="C12" s="9"/>
      <c r="D12" s="3"/>
      <c r="F12" s="3"/>
    </row>
    <row r="13" spans="1:13">
      <c r="A13" s="3"/>
      <c r="B13" s="3"/>
      <c r="C13" s="9"/>
      <c r="D13" s="3"/>
      <c r="F13" s="3"/>
    </row>
    <row r="14" spans="1:13">
      <c r="A14" s="3"/>
      <c r="B14" s="3"/>
      <c r="C14" s="9"/>
      <c r="D14" s="3"/>
      <c r="F14" s="3"/>
    </row>
    <row r="15" spans="1:13">
      <c r="A15" s="3"/>
      <c r="B15" s="3"/>
      <c r="C15" s="9"/>
      <c r="D15" s="3"/>
      <c r="F15" s="3"/>
    </row>
    <row r="16" spans="1:13">
      <c r="C16" s="9"/>
      <c r="D16" s="3"/>
      <c r="F16" s="3"/>
    </row>
    <row r="17" spans="1:6">
      <c r="C17" s="9"/>
      <c r="D17" s="3"/>
      <c r="F17" s="3"/>
    </row>
    <row r="18" spans="1:6">
      <c r="C18" s="9"/>
      <c r="D18" s="3"/>
      <c r="F18" s="3"/>
    </row>
    <row r="19" spans="1:6">
      <c r="B19" s="1"/>
      <c r="D19" s="3"/>
      <c r="F19" s="3"/>
    </row>
    <row r="20" spans="1:6">
      <c r="B20" s="1"/>
      <c r="D20" s="3"/>
      <c r="F20" s="3"/>
    </row>
    <row r="21" spans="1:6">
      <c r="A21" s="3"/>
      <c r="B21" s="1"/>
      <c r="D21" s="3"/>
      <c r="F21" s="3"/>
    </row>
  </sheetData>
  <dataValidations count="1">
    <dataValidation type="list" allowBlank="1" showInputMessage="1" showErrorMessage="1" sqref="C11:C18 A4:A10" xr:uid="{6C878626-3D8B-463D-9291-C0F23028227B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1EEB-B9DE-449A-BEA2-3B9D595D1E66}">
  <sheetPr codeName="Feuil12">
    <pageSetUpPr fitToPage="1"/>
  </sheetPr>
  <dimension ref="A1:M17"/>
  <sheetViews>
    <sheetView zoomScale="90" zoomScaleNormal="90" workbookViewId="0">
      <selection activeCell="E4" sqref="E4:E17"/>
    </sheetView>
  </sheetViews>
  <sheetFormatPr defaultColWidth="11.42578125" defaultRowHeight="15"/>
  <cols>
    <col min="1" max="1" width="15.7109375" style="1" customWidth="1"/>
    <col min="2" max="2" width="25.7109375" style="7" customWidth="1"/>
    <col min="3" max="3" width="14.7109375" style="1" bestFit="1" customWidth="1"/>
    <col min="4" max="4" width="36.7109375" style="8" customWidth="1"/>
    <col min="5" max="5" width="6.140625" style="8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>
      <c r="A1" s="14" t="s">
        <v>6</v>
      </c>
      <c r="B1" s="15" t="s">
        <v>96</v>
      </c>
      <c r="C1" s="24"/>
      <c r="D1" s="16"/>
      <c r="E1" s="22" t="s">
        <v>8</v>
      </c>
      <c r="F1" s="17"/>
      <c r="G1" s="18"/>
      <c r="H1" s="18"/>
      <c r="I1" s="18"/>
    </row>
    <row r="2" spans="1:13">
      <c r="A2" s="14"/>
      <c r="B2" s="15"/>
      <c r="C2" s="15"/>
      <c r="D2" s="16"/>
      <c r="E2" s="21">
        <v>1</v>
      </c>
      <c r="F2" s="17"/>
      <c r="G2" s="18"/>
      <c r="H2" s="18"/>
      <c r="I2" s="18"/>
    </row>
    <row r="3" spans="1:13" ht="32.25" customHeight="1">
      <c r="A3" s="11" t="s">
        <v>9</v>
      </c>
      <c r="B3" s="12" t="s">
        <v>10</v>
      </c>
      <c r="C3" s="13" t="s">
        <v>11</v>
      </c>
      <c r="D3" s="13" t="s">
        <v>12</v>
      </c>
      <c r="E3" s="20" t="s">
        <v>8</v>
      </c>
      <c r="F3" s="19" t="s">
        <v>13</v>
      </c>
      <c r="G3" s="19" t="s">
        <v>14</v>
      </c>
      <c r="H3" s="19" t="s">
        <v>15</v>
      </c>
      <c r="I3" s="19" t="s">
        <v>16</v>
      </c>
      <c r="L3" s="10"/>
      <c r="M3" s="10"/>
    </row>
    <row r="4" spans="1:13" ht="25.5">
      <c r="A4" s="9" t="s">
        <v>38</v>
      </c>
      <c r="B4" s="8" t="s">
        <v>97</v>
      </c>
      <c r="C4" s="8" t="s">
        <v>19</v>
      </c>
      <c r="D4" s="10" t="s">
        <v>98</v>
      </c>
      <c r="E4" s="29">
        <v>1</v>
      </c>
      <c r="F4" s="10" t="s">
        <v>21</v>
      </c>
      <c r="G4" s="66"/>
      <c r="H4" s="10" t="s">
        <v>82</v>
      </c>
      <c r="I4" s="10" t="s">
        <v>68</v>
      </c>
      <c r="L4" s="10"/>
      <c r="M4" s="10"/>
    </row>
    <row r="5" spans="1:13" ht="30">
      <c r="A5" s="25" t="s">
        <v>38</v>
      </c>
      <c r="B5" s="26" t="s">
        <v>99</v>
      </c>
      <c r="C5" s="26" t="s">
        <v>19</v>
      </c>
      <c r="D5" s="27" t="s">
        <v>100</v>
      </c>
      <c r="E5" s="28">
        <v>1</v>
      </c>
      <c r="F5" s="27" t="s">
        <v>21</v>
      </c>
      <c r="G5" s="65"/>
      <c r="H5" s="65" t="s">
        <v>79</v>
      </c>
      <c r="I5" s="27" t="s">
        <v>68</v>
      </c>
      <c r="L5" s="10"/>
      <c r="M5" s="10"/>
    </row>
    <row r="6" spans="1:13" ht="30">
      <c r="A6" s="9" t="s">
        <v>38</v>
      </c>
      <c r="B6" s="8" t="s">
        <v>101</v>
      </c>
      <c r="C6" s="8" t="s">
        <v>19</v>
      </c>
      <c r="D6" s="10" t="s">
        <v>102</v>
      </c>
      <c r="E6" s="29">
        <v>1</v>
      </c>
      <c r="F6" s="10" t="s">
        <v>21</v>
      </c>
      <c r="G6" s="66"/>
      <c r="H6" s="10" t="s">
        <v>82</v>
      </c>
      <c r="I6" s="10" t="s">
        <v>68</v>
      </c>
      <c r="L6" s="10"/>
      <c r="M6" s="10"/>
    </row>
    <row r="7" spans="1:13">
      <c r="A7" s="25" t="s">
        <v>38</v>
      </c>
      <c r="B7" s="26" t="s">
        <v>103</v>
      </c>
      <c r="C7" s="26" t="s">
        <v>19</v>
      </c>
      <c r="D7" s="27" t="s">
        <v>104</v>
      </c>
      <c r="E7" s="28">
        <v>1</v>
      </c>
      <c r="F7" s="27" t="s">
        <v>21</v>
      </c>
      <c r="G7" s="65"/>
      <c r="H7" s="65" t="s">
        <v>82</v>
      </c>
      <c r="I7" s="27" t="s">
        <v>68</v>
      </c>
      <c r="L7" s="10"/>
      <c r="M7" s="10"/>
    </row>
    <row r="8" spans="1:13" ht="25.5">
      <c r="A8" s="9" t="s">
        <v>38</v>
      </c>
      <c r="B8" s="8" t="s">
        <v>105</v>
      </c>
      <c r="C8" s="8" t="s">
        <v>19</v>
      </c>
      <c r="D8" s="10" t="s">
        <v>106</v>
      </c>
      <c r="E8" s="29">
        <v>1</v>
      </c>
      <c r="F8" s="10" t="s">
        <v>21</v>
      </c>
      <c r="G8" s="66" t="s">
        <v>87</v>
      </c>
      <c r="H8" s="10" t="s">
        <v>88</v>
      </c>
      <c r="I8" s="10" t="s">
        <v>68</v>
      </c>
      <c r="L8" s="10"/>
      <c r="M8" s="10"/>
    </row>
    <row r="9" spans="1:13" ht="30">
      <c r="A9" s="25" t="s">
        <v>38</v>
      </c>
      <c r="B9" s="26" t="s">
        <v>107</v>
      </c>
      <c r="C9" s="26" t="s">
        <v>19</v>
      </c>
      <c r="D9" s="71">
        <v>0.02</v>
      </c>
      <c r="E9" s="28">
        <v>1</v>
      </c>
      <c r="F9" s="27" t="s">
        <v>21</v>
      </c>
      <c r="G9" s="65"/>
      <c r="H9" s="65" t="s">
        <v>95</v>
      </c>
      <c r="I9" s="27" t="s">
        <v>68</v>
      </c>
      <c r="L9" s="10"/>
      <c r="M9" s="10"/>
    </row>
    <row r="10" spans="1:13" ht="45">
      <c r="A10" s="9" t="s">
        <v>38</v>
      </c>
      <c r="B10" s="8" t="s">
        <v>108</v>
      </c>
      <c r="C10" s="8" t="s">
        <v>19</v>
      </c>
      <c r="D10" s="10" t="s">
        <v>109</v>
      </c>
      <c r="E10" s="29">
        <v>1</v>
      </c>
      <c r="F10" s="10" t="s">
        <v>21</v>
      </c>
      <c r="G10" s="66" t="s">
        <v>87</v>
      </c>
      <c r="H10" s="10" t="s">
        <v>88</v>
      </c>
      <c r="I10" s="10" t="s">
        <v>68</v>
      </c>
      <c r="L10" s="10"/>
      <c r="M10" s="10"/>
    </row>
    <row r="11" spans="1:13" ht="30">
      <c r="A11" s="25" t="s">
        <v>38</v>
      </c>
      <c r="B11" s="26" t="s">
        <v>110</v>
      </c>
      <c r="C11" s="26" t="s">
        <v>19</v>
      </c>
      <c r="D11" s="27" t="s">
        <v>94</v>
      </c>
      <c r="E11" s="28">
        <v>1</v>
      </c>
      <c r="F11" s="27" t="s">
        <v>21</v>
      </c>
      <c r="G11" s="65"/>
      <c r="H11" s="65" t="s">
        <v>95</v>
      </c>
      <c r="I11" s="27" t="s">
        <v>68</v>
      </c>
      <c r="L11" s="10"/>
      <c r="M11" s="10"/>
    </row>
    <row r="12" spans="1:13" ht="30">
      <c r="A12" s="9" t="s">
        <v>38</v>
      </c>
      <c r="B12" s="8" t="s">
        <v>111</v>
      </c>
      <c r="C12" s="8" t="s">
        <v>19</v>
      </c>
      <c r="D12" s="10" t="s">
        <v>112</v>
      </c>
      <c r="E12" s="29">
        <v>1</v>
      </c>
      <c r="F12" s="10" t="s">
        <v>21</v>
      </c>
      <c r="G12" s="66" t="s">
        <v>87</v>
      </c>
      <c r="H12" s="10" t="s">
        <v>88</v>
      </c>
      <c r="I12" s="10" t="s">
        <v>68</v>
      </c>
      <c r="L12" s="10"/>
      <c r="M12" s="10"/>
    </row>
    <row r="13" spans="1:13" ht="30">
      <c r="A13" s="25" t="s">
        <v>38</v>
      </c>
      <c r="B13" s="26" t="s">
        <v>113</v>
      </c>
      <c r="C13" s="26" t="s">
        <v>19</v>
      </c>
      <c r="D13" s="27" t="s">
        <v>114</v>
      </c>
      <c r="E13" s="28">
        <v>1</v>
      </c>
      <c r="F13" s="27" t="s">
        <v>21</v>
      </c>
      <c r="G13" s="65"/>
      <c r="H13" s="65" t="s">
        <v>95</v>
      </c>
      <c r="I13" s="27" t="s">
        <v>68</v>
      </c>
      <c r="L13" s="10"/>
      <c r="M13" s="10"/>
    </row>
    <row r="14" spans="1:13" ht="45">
      <c r="A14" s="9" t="s">
        <v>38</v>
      </c>
      <c r="B14" s="8" t="s">
        <v>115</v>
      </c>
      <c r="C14" s="8" t="s">
        <v>19</v>
      </c>
      <c r="D14" s="10" t="s">
        <v>116</v>
      </c>
      <c r="E14" s="29">
        <v>1</v>
      </c>
      <c r="F14" s="10" t="s">
        <v>21</v>
      </c>
      <c r="G14" s="66" t="s">
        <v>87</v>
      </c>
      <c r="H14" s="10" t="s">
        <v>88</v>
      </c>
      <c r="I14" s="10" t="s">
        <v>68</v>
      </c>
      <c r="L14" s="10"/>
      <c r="M14" s="10"/>
    </row>
    <row r="15" spans="1:13" ht="30">
      <c r="A15" s="25" t="s">
        <v>38</v>
      </c>
      <c r="B15" s="26" t="s">
        <v>117</v>
      </c>
      <c r="C15" s="26" t="s">
        <v>19</v>
      </c>
      <c r="D15" s="27" t="s">
        <v>118</v>
      </c>
      <c r="E15" s="28">
        <v>1</v>
      </c>
      <c r="F15" s="27" t="s">
        <v>21</v>
      </c>
      <c r="G15" s="65"/>
      <c r="H15" s="65" t="s">
        <v>95</v>
      </c>
      <c r="I15" s="27" t="s">
        <v>68</v>
      </c>
      <c r="L15" s="10"/>
      <c r="M15" s="10"/>
    </row>
    <row r="16" spans="1:13" ht="25.5">
      <c r="A16" s="9" t="s">
        <v>38</v>
      </c>
      <c r="B16" s="8" t="s">
        <v>119</v>
      </c>
      <c r="C16" s="8" t="s">
        <v>19</v>
      </c>
      <c r="D16" s="10" t="s">
        <v>53</v>
      </c>
      <c r="E16" s="29">
        <v>1</v>
      </c>
      <c r="F16" s="10" t="s">
        <v>21</v>
      </c>
      <c r="G16" s="66" t="s">
        <v>87</v>
      </c>
      <c r="H16" s="10" t="s">
        <v>88</v>
      </c>
      <c r="I16" s="10" t="s">
        <v>68</v>
      </c>
      <c r="L16" s="10"/>
      <c r="M16" s="10"/>
    </row>
    <row r="17" spans="1:13" ht="30">
      <c r="A17" s="25" t="s">
        <v>38</v>
      </c>
      <c r="B17" s="26" t="s">
        <v>120</v>
      </c>
      <c r="C17" s="26" t="s">
        <v>19</v>
      </c>
      <c r="D17" s="27" t="s">
        <v>49</v>
      </c>
      <c r="E17" s="28">
        <v>1</v>
      </c>
      <c r="F17" s="27" t="s">
        <v>21</v>
      </c>
      <c r="G17" s="65"/>
      <c r="H17" s="65" t="s">
        <v>95</v>
      </c>
      <c r="I17" s="27" t="s">
        <v>68</v>
      </c>
      <c r="L17" s="10"/>
      <c r="M17" s="10"/>
    </row>
  </sheetData>
  <dataValidations count="1">
    <dataValidation type="list" allowBlank="1" showInputMessage="1" showErrorMessage="1" sqref="A4:A17 C5:C17" xr:uid="{1A8F27A8-5FDF-4860-84A1-E8C4BFFC3D5C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>
    <pageSetUpPr fitToPage="1"/>
  </sheetPr>
  <dimension ref="A1:M17"/>
  <sheetViews>
    <sheetView zoomScale="90" zoomScaleNormal="90" workbookViewId="0">
      <selection activeCell="E4" sqref="E4:E8"/>
    </sheetView>
  </sheetViews>
  <sheetFormatPr defaultColWidth="11.42578125" defaultRowHeight="15"/>
  <cols>
    <col min="1" max="1" width="15.7109375" style="1" customWidth="1"/>
    <col min="2" max="2" width="25.7109375" style="7" customWidth="1"/>
    <col min="3" max="3" width="14.7109375" style="1" bestFit="1" customWidth="1"/>
    <col min="4" max="4" width="36.7109375" style="8" customWidth="1"/>
    <col min="5" max="5" width="6.140625" style="8" customWidth="1"/>
    <col min="6" max="6" width="25.7109375" style="2" customWidth="1"/>
    <col min="7" max="10" width="25.7109375" style="3" customWidth="1"/>
    <col min="11" max="11" width="10.5703125" style="3" customWidth="1"/>
    <col min="12" max="16384" width="11.42578125" style="3"/>
  </cols>
  <sheetData>
    <row r="1" spans="1:13" ht="16.5">
      <c r="A1" s="14" t="s">
        <v>6</v>
      </c>
      <c r="B1" s="15" t="s">
        <v>121</v>
      </c>
      <c r="C1" s="24"/>
      <c r="D1" s="16"/>
      <c r="E1" s="22" t="s">
        <v>8</v>
      </c>
      <c r="F1" s="17"/>
      <c r="G1" s="18"/>
      <c r="H1" s="18"/>
      <c r="I1" s="18"/>
    </row>
    <row r="2" spans="1:13">
      <c r="A2" s="14"/>
      <c r="B2" s="15"/>
      <c r="C2" s="15"/>
      <c r="D2" s="16"/>
      <c r="E2" s="21">
        <v>1</v>
      </c>
      <c r="F2" s="17"/>
      <c r="G2" s="18"/>
      <c r="H2" s="18"/>
      <c r="I2" s="18"/>
    </row>
    <row r="3" spans="1:13" ht="31.5">
      <c r="A3" s="11" t="s">
        <v>9</v>
      </c>
      <c r="B3" s="12" t="s">
        <v>10</v>
      </c>
      <c r="C3" s="13" t="s">
        <v>11</v>
      </c>
      <c r="D3" s="13" t="s">
        <v>12</v>
      </c>
      <c r="E3" s="20" t="s">
        <v>8</v>
      </c>
      <c r="F3" s="19" t="s">
        <v>13</v>
      </c>
      <c r="G3" s="19" t="s">
        <v>14</v>
      </c>
      <c r="H3" s="19" t="s">
        <v>15</v>
      </c>
      <c r="I3" s="19" t="s">
        <v>16</v>
      </c>
      <c r="L3" s="10"/>
      <c r="M3" s="10"/>
    </row>
    <row r="4" spans="1:13" ht="25.5">
      <c r="A4" s="25" t="s">
        <v>38</v>
      </c>
      <c r="B4" s="26" t="s">
        <v>122</v>
      </c>
      <c r="C4" s="26" t="s">
        <v>19</v>
      </c>
      <c r="D4" s="27" t="s">
        <v>49</v>
      </c>
      <c r="E4" s="28">
        <v>1</v>
      </c>
      <c r="F4" s="27" t="s">
        <v>21</v>
      </c>
      <c r="G4" s="65" t="s">
        <v>87</v>
      </c>
      <c r="H4" s="65" t="s">
        <v>88</v>
      </c>
      <c r="I4" s="27" t="s">
        <v>68</v>
      </c>
      <c r="L4" s="10"/>
      <c r="M4" s="10"/>
    </row>
    <row r="5" spans="1:13" ht="30">
      <c r="A5" s="9" t="s">
        <v>38</v>
      </c>
      <c r="B5" s="8" t="s">
        <v>123</v>
      </c>
      <c r="C5" s="8" t="s">
        <v>19</v>
      </c>
      <c r="D5" s="10" t="s">
        <v>124</v>
      </c>
      <c r="E5" s="29">
        <v>1</v>
      </c>
      <c r="F5" s="10" t="s">
        <v>21</v>
      </c>
      <c r="G5" s="66"/>
      <c r="H5" s="10" t="s">
        <v>125</v>
      </c>
      <c r="I5" s="10" t="s">
        <v>68</v>
      </c>
      <c r="L5" s="10"/>
      <c r="M5" s="10"/>
    </row>
    <row r="6" spans="1:13" ht="30">
      <c r="A6" s="25" t="s">
        <v>38</v>
      </c>
      <c r="B6" s="26" t="s">
        <v>126</v>
      </c>
      <c r="C6" s="26" t="s">
        <v>19</v>
      </c>
      <c r="D6" s="27" t="s">
        <v>127</v>
      </c>
      <c r="E6" s="28">
        <v>1</v>
      </c>
      <c r="F6" s="27" t="s">
        <v>21</v>
      </c>
      <c r="G6" s="65" t="s">
        <v>22</v>
      </c>
      <c r="H6" s="65" t="s">
        <v>23</v>
      </c>
      <c r="I6" s="27" t="s">
        <v>71</v>
      </c>
      <c r="L6" s="10"/>
      <c r="M6" s="10"/>
    </row>
    <row r="7" spans="1:13" ht="30">
      <c r="A7" s="9" t="s">
        <v>38</v>
      </c>
      <c r="B7" s="8" t="s">
        <v>128</v>
      </c>
      <c r="C7" s="8" t="s">
        <v>19</v>
      </c>
      <c r="D7" s="10" t="s">
        <v>129</v>
      </c>
      <c r="E7" s="29">
        <v>1</v>
      </c>
      <c r="F7" s="10" t="s">
        <v>21</v>
      </c>
      <c r="G7" s="66"/>
      <c r="H7" s="10" t="s">
        <v>125</v>
      </c>
      <c r="I7" s="10" t="s">
        <v>68</v>
      </c>
      <c r="L7" s="10"/>
      <c r="M7" s="10"/>
    </row>
    <row r="8" spans="1:13" ht="30">
      <c r="A8" s="25" t="s">
        <v>38</v>
      </c>
      <c r="B8" s="26" t="s">
        <v>130</v>
      </c>
      <c r="C8" s="26" t="s">
        <v>19</v>
      </c>
      <c r="D8" s="27" t="s">
        <v>127</v>
      </c>
      <c r="E8" s="28">
        <v>1</v>
      </c>
      <c r="F8" s="27" t="s">
        <v>21</v>
      </c>
      <c r="G8" s="65" t="s">
        <v>22</v>
      </c>
      <c r="H8" s="65" t="s">
        <v>23</v>
      </c>
      <c r="I8" s="27" t="s">
        <v>71</v>
      </c>
      <c r="L8" s="10"/>
      <c r="M8" s="10"/>
    </row>
    <row r="9" spans="1:13">
      <c r="A9" s="3"/>
      <c r="B9" s="3"/>
      <c r="C9" s="9"/>
      <c r="D9" s="3"/>
      <c r="F9" s="3"/>
    </row>
    <row r="10" spans="1:13">
      <c r="A10" s="3"/>
      <c r="B10" s="3"/>
      <c r="C10" s="9"/>
      <c r="D10" s="3"/>
      <c r="F10" s="3"/>
    </row>
    <row r="11" spans="1:13">
      <c r="A11" s="3"/>
      <c r="B11" s="3"/>
      <c r="C11" s="9"/>
      <c r="D11" s="3"/>
      <c r="F11" s="3"/>
    </row>
    <row r="12" spans="1:13">
      <c r="C12" s="9"/>
      <c r="D12" s="3"/>
      <c r="F12" s="3"/>
    </row>
    <row r="13" spans="1:13">
      <c r="C13" s="9"/>
      <c r="D13" s="3"/>
      <c r="F13" s="3"/>
    </row>
    <row r="14" spans="1:13">
      <c r="C14" s="9"/>
      <c r="D14" s="3"/>
      <c r="F14" s="3"/>
    </row>
    <row r="15" spans="1:13">
      <c r="B15" s="1"/>
      <c r="D15" s="3"/>
      <c r="F15" s="3"/>
    </row>
    <row r="16" spans="1:13">
      <c r="B16" s="1"/>
      <c r="D16" s="3"/>
      <c r="F16" s="3"/>
    </row>
    <row r="17" spans="1:6">
      <c r="A17" s="3"/>
      <c r="B17" s="1"/>
      <c r="D17" s="3"/>
      <c r="F17" s="3"/>
    </row>
  </sheetData>
  <dataValidations count="1">
    <dataValidation type="list" allowBlank="1" showInputMessage="1" showErrorMessage="1" sqref="A4:A8 C9:C14" xr:uid="{00000000-0002-0000-0300-000000000000}">
      <formula1>"Connait,Comprend,Applique,Analyse,Produit,Evalue"</formula1>
    </dataValidation>
  </dataValidations>
  <printOptions horizontalCentered="1"/>
  <pageMargins left="0.59055118110236227" right="0.59055118110236227" top="0.98425196850393704" bottom="0.98425196850393704" header="0.51181102362204722" footer="0.51181102362204722"/>
  <pageSetup paperSize="9" scale="67" orientation="landscape" r:id="rId1"/>
  <headerFooter alignWithMargins="0">
    <oddHeader>&amp;L&amp;"ETML,Normal"&amp;14&amp;G&amp;C&amp;"Comic Sans MS,Gras"&amp;12&amp;A&amp;R&amp;"Comic Sans MS,Gras"&amp;16I-ch 133</oddHeader>
    <oddFooter>&amp;L&amp;"Comic Sans MS,Normal"&amp;F&amp;R&amp;"Comic Sans MS,Normal"&amp;D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pageSetUpPr fitToPage="1"/>
  </sheetPr>
  <dimension ref="A1:E56"/>
  <sheetViews>
    <sheetView zoomScaleNormal="100" workbookViewId="0">
      <selection activeCell="D66" sqref="D66"/>
    </sheetView>
  </sheetViews>
  <sheetFormatPr defaultColWidth="11.42578125" defaultRowHeight="12.75"/>
  <cols>
    <col min="1" max="1" width="86.42578125" customWidth="1"/>
    <col min="2" max="2" width="6.42578125" bestFit="1" customWidth="1"/>
    <col min="4" max="4" width="60.7109375" customWidth="1"/>
    <col min="5" max="5" width="67.7109375" style="23" customWidth="1"/>
  </cols>
  <sheetData>
    <row r="1" spans="1:5" ht="20.25" thickBot="1">
      <c r="A1" s="62"/>
      <c r="B1" s="72" t="s">
        <v>131</v>
      </c>
      <c r="C1" s="73"/>
    </row>
    <row r="2" spans="1:5" ht="18.75" thickBot="1">
      <c r="A2" s="4"/>
      <c r="B2" s="5" t="s">
        <v>8</v>
      </c>
      <c r="C2" s="6" t="s">
        <v>132</v>
      </c>
      <c r="D2" s="40">
        <f>((C9+C18+C24+C49+C56+C33)*5/(B9+B18+B24+B49+B56+B33))+1</f>
        <v>1</v>
      </c>
    </row>
    <row r="3" spans="1:5" ht="14.25">
      <c r="A3" s="15" t="str">
        <f>Règle!B1</f>
        <v>Respect des règles / Commentaires</v>
      </c>
      <c r="B3" s="32"/>
      <c r="C3" s="33"/>
      <c r="D3" s="15"/>
      <c r="E3" s="24"/>
    </row>
    <row r="4" spans="1:5">
      <c r="A4" s="30" t="str">
        <f>Règle!B4</f>
        <v>Commentaires Entête</v>
      </c>
      <c r="B4" s="34">
        <f>Règle!E4</f>
        <v>1</v>
      </c>
      <c r="C4" s="41"/>
      <c r="D4" s="31"/>
      <c r="E4" s="31" t="str">
        <f>Règle!D4</f>
        <v>Selon les normes ETML (entête de fichier, de méthode)</v>
      </c>
    </row>
    <row r="5" spans="1:5">
      <c r="A5" s="67" t="str">
        <f>Règle!B5</f>
        <v>Insère des commentaires de qualité</v>
      </c>
      <c r="B5" s="68">
        <f>Règle!E5</f>
        <v>1</v>
      </c>
      <c r="C5" s="69"/>
      <c r="D5" s="70"/>
      <c r="E5" s="70" t="str">
        <f>Règle!D5</f>
        <v>Les commentaires expliquent en l'intention du programme</v>
      </c>
    </row>
    <row r="6" spans="1:5">
      <c r="A6" s="30" t="str">
        <f>Règle!B6</f>
        <v>Variables, nom de fonction</v>
      </c>
      <c r="B6" s="34">
        <f>Règle!E6</f>
        <v>1</v>
      </c>
      <c r="C6" s="41"/>
      <c r="D6" s="31"/>
      <c r="E6" s="31" t="str">
        <f>Règle!D6</f>
        <v>Respecte les normes ETML</v>
      </c>
    </row>
    <row r="7" spans="1:5">
      <c r="A7" s="67" t="str">
        <f>Règle!B7</f>
        <v>Respect du W3C (HTML et CSS)</v>
      </c>
      <c r="B7" s="68">
        <f>Règle!E7</f>
        <v>1</v>
      </c>
      <c r="C7" s="69"/>
      <c r="D7" s="70"/>
      <c r="E7" s="70" t="str">
        <f>Règle!D7</f>
        <v>Aucune erreur</v>
      </c>
    </row>
    <row r="8" spans="1:5">
      <c r="A8" s="30" t="str">
        <f>Règle!B8</f>
        <v>Utilise jQuery/ CSS en fichier</v>
      </c>
      <c r="B8" s="34">
        <f>Règle!E8</f>
        <v>1</v>
      </c>
      <c r="C8" s="41"/>
      <c r="D8" s="31"/>
      <c r="E8" s="31" t="str">
        <f>Règle!D8</f>
        <v>Lien sur jQuery</v>
      </c>
    </row>
    <row r="9" spans="1:5">
      <c r="A9" s="39" t="s">
        <v>133</v>
      </c>
      <c r="B9" s="35">
        <f>SUM(B4:B8)*3</f>
        <v>15</v>
      </c>
      <c r="C9" s="38">
        <f>(B4*C4)+(B5*C5)+(B6*C6)+(B7*C7)+(B8*C8)</f>
        <v>0</v>
      </c>
      <c r="D9" s="37"/>
      <c r="E9" s="36"/>
    </row>
    <row r="10" spans="1:5" ht="14.25">
      <c r="A10" s="15" t="str">
        <f>Couleurs!B1</f>
        <v>Trouver les codes couleurs</v>
      </c>
      <c r="B10" s="32"/>
      <c r="C10" s="33"/>
      <c r="D10" s="15"/>
      <c r="E10" s="24"/>
    </row>
    <row r="11" spans="1:5" ht="13.5" customHeight="1">
      <c r="A11" s="30" t="str">
        <f>Couleurs!B4</f>
        <v>Zone bleu</v>
      </c>
      <c r="B11" s="34">
        <f>Couleurs!E4</f>
        <v>1</v>
      </c>
      <c r="C11" s="41"/>
      <c r="D11" s="31"/>
      <c r="E11" s="31" t="str">
        <f>Couleurs!D4</f>
        <v>62, 192, 224 ou #47C3E1</v>
      </c>
    </row>
    <row r="12" spans="1:5">
      <c r="A12" s="67" t="str">
        <f>Couleurs!B5</f>
        <v>Zone grise</v>
      </c>
      <c r="B12" s="68">
        <f>Couleurs!E5</f>
        <v>1</v>
      </c>
      <c r="C12" s="69"/>
      <c r="D12" s="70"/>
      <c r="E12" s="70" t="str">
        <f>Couleurs!D5</f>
        <v>0, 14, 238 ou #eee</v>
      </c>
    </row>
    <row r="13" spans="1:5" ht="13.5" customHeight="1">
      <c r="A13" s="30" t="str">
        <f>Couleurs!B6</f>
        <v>Zone or</v>
      </c>
      <c r="B13" s="34">
        <f>Couleurs!E6</f>
        <v>1</v>
      </c>
      <c r="C13" s="41"/>
      <c r="D13" s="31"/>
      <c r="E13" s="31" t="str">
        <f>Couleurs!D6</f>
        <v>255, 215, 0 ou #FFD700</v>
      </c>
    </row>
    <row r="14" spans="1:5">
      <c r="A14" s="67" t="str">
        <f>Couleurs!B7</f>
        <v>Zone facebook</v>
      </c>
      <c r="B14" s="68">
        <f>Couleurs!E7</f>
        <v>1</v>
      </c>
      <c r="C14" s="69"/>
      <c r="D14" s="70"/>
      <c r="E14" s="70" t="str">
        <f>Couleurs!D7</f>
        <v>59, 89, 152 ou #3B5998</v>
      </c>
    </row>
    <row r="15" spans="1:5" ht="13.5" customHeight="1">
      <c r="A15" s="30" t="str">
        <f>Couleurs!B8</f>
        <v>Zone twitter</v>
      </c>
      <c r="B15" s="34">
        <f>Couleurs!E8</f>
        <v>1</v>
      </c>
      <c r="C15" s="41"/>
      <c r="D15" s="31"/>
      <c r="E15" s="31" t="str">
        <f>Couleurs!D8</f>
        <v>85, 172, 238 ou #55ACEE</v>
      </c>
    </row>
    <row r="16" spans="1:5">
      <c r="A16" s="67" t="str">
        <f>Couleurs!B9</f>
        <v>Zone instagram</v>
      </c>
      <c r="B16" s="68">
        <f>Couleurs!E9</f>
        <v>1</v>
      </c>
      <c r="C16" s="69"/>
      <c r="D16" s="70"/>
      <c r="E16" s="70" t="str">
        <f>Couleurs!D9</f>
        <v>18, 86, 136 ou #125688</v>
      </c>
    </row>
    <row r="17" spans="1:5" ht="13.5" customHeight="1">
      <c r="A17" s="30" t="str">
        <f>Couleurs!B10</f>
        <v>Zone blanche</v>
      </c>
      <c r="B17" s="34">
        <f>Couleurs!E10</f>
        <v>1</v>
      </c>
      <c r="C17" s="41"/>
      <c r="D17" s="31"/>
      <c r="E17" s="31" t="str">
        <f>Couleurs!D10</f>
        <v>247, 247, 247 ou #f7f7f7</v>
      </c>
    </row>
    <row r="18" spans="1:5">
      <c r="A18" s="39" t="s">
        <v>133</v>
      </c>
      <c r="B18" s="35">
        <f>SUM(B11:B17)</f>
        <v>7</v>
      </c>
      <c r="C18" s="38">
        <f>SUM(C11:C17)</f>
        <v>0</v>
      </c>
      <c r="D18" s="37"/>
      <c r="E18" s="36"/>
    </row>
    <row r="19" spans="1:5" ht="14.25">
      <c r="A19" s="15" t="str">
        <f>'Général '!B1</f>
        <v>Taille, grandeur des éléments à tout le site</v>
      </c>
      <c r="B19" s="32"/>
      <c r="C19" s="33"/>
      <c r="D19" s="15"/>
      <c r="E19" s="24"/>
    </row>
    <row r="20" spans="1:5" ht="13.5" customHeight="1">
      <c r="A20" s="30" t="str">
        <f>'Général '!B4</f>
        <v>Police du site</v>
      </c>
      <c r="B20" s="34">
        <f>'Général '!E4</f>
        <v>1</v>
      </c>
      <c r="C20" s="41"/>
      <c r="D20" s="31"/>
      <c r="E20" s="31" t="str">
        <f>'Général '!D4</f>
        <v>arial, sans-serif</v>
      </c>
    </row>
    <row r="21" spans="1:5">
      <c r="A21" s="67" t="str">
        <f>'Général '!B5</f>
        <v>Police - taille</v>
      </c>
      <c r="B21" s="68">
        <f>'Général '!E5</f>
        <v>1</v>
      </c>
      <c r="C21" s="69"/>
      <c r="D21" s="70"/>
      <c r="E21" s="70" t="str">
        <f>'Général '!D5</f>
        <v>h1 -&gt;72 et 36, h2 36 et 18 et voir les autres</v>
      </c>
    </row>
    <row r="22" spans="1:5" ht="13.5" customHeight="1">
      <c r="A22" s="30" t="str">
        <f>'Général '!B6</f>
        <v>Largeur des zones</v>
      </c>
      <c r="B22" s="34">
        <f>'Général '!E6</f>
        <v>1</v>
      </c>
      <c r="C22" s="41"/>
      <c r="D22" s="31"/>
      <c r="E22" s="31" t="str">
        <f>'Général '!D6</f>
        <v>1140px</v>
      </c>
    </row>
    <row r="23" spans="1:5">
      <c r="A23" s="67" t="str">
        <f>'Général '!B7</f>
        <v>Les 3 zones existent et sont bien délimitées</v>
      </c>
      <c r="B23" s="68">
        <f>'Général '!E7</f>
        <v>1</v>
      </c>
      <c r="C23" s="69"/>
      <c r="D23" s="70"/>
      <c r="E23" s="70" t="str">
        <f>'Général '!D7</f>
        <v>header /section / footer</v>
      </c>
    </row>
    <row r="24" spans="1:5">
      <c r="A24" s="39" t="s">
        <v>133</v>
      </c>
      <c r="B24" s="35">
        <f>SUM(B20:B23)*3</f>
        <v>12</v>
      </c>
      <c r="C24" s="38">
        <f>(B20*C20)+(B21*C21)+(B22*C22)+(B23*C23)</f>
        <v>0</v>
      </c>
      <c r="D24" s="37"/>
      <c r="E24" s="36"/>
    </row>
    <row r="25" spans="1:5" ht="14.25">
      <c r="A25" s="15" t="str">
        <f>Header!B1</f>
        <v>Header</v>
      </c>
      <c r="B25" s="32"/>
      <c r="C25" s="33"/>
      <c r="D25" s="15"/>
      <c r="E25" s="24"/>
    </row>
    <row r="26" spans="1:5" ht="13.5" customHeight="1">
      <c r="A26" s="30" t="str">
        <f>Header!B4</f>
        <v>Header - image de fond</v>
      </c>
      <c r="B26" s="34">
        <f>Header!E4</f>
        <v>1</v>
      </c>
      <c r="C26" s="41"/>
      <c r="D26" s="31"/>
      <c r="E26" s="31" t="str">
        <f>Header!D4</f>
        <v>backcountry.jpg</v>
      </c>
    </row>
    <row r="27" spans="1:5">
      <c r="A27" s="67" t="str">
        <f>Header!B5</f>
        <v>Header - taille</v>
      </c>
      <c r="B27" s="68">
        <f>Header!E5</f>
        <v>1</v>
      </c>
      <c r="C27" s="69"/>
      <c r="D27" s="70"/>
      <c r="E27" s="70" t="str">
        <f>Header!D5</f>
        <v>500px</v>
      </c>
    </row>
    <row r="28" spans="1:5" ht="13.5" customHeight="1">
      <c r="A28" s="30" t="str">
        <f>Header!B6</f>
        <v>Header - fond titre et sous-titre</v>
      </c>
      <c r="B28" s="34">
        <f>Header!E6</f>
        <v>1</v>
      </c>
      <c r="C28" s="41"/>
      <c r="D28" s="31"/>
      <c r="E28" s="31" t="str">
        <f>Header!D6</f>
        <v>blanc 50%</v>
      </c>
    </row>
    <row r="29" spans="1:5">
      <c r="A29" s="67" t="str">
        <f>Header!B7</f>
        <v>Header - position titre et sous-titre</v>
      </c>
      <c r="B29" s="68">
        <f>Header!E7</f>
        <v>1</v>
      </c>
      <c r="C29" s="69"/>
      <c r="D29" s="70"/>
      <c r="E29" s="70" t="str">
        <f>Header!D7</f>
        <v>30px du haut et sur l'image de fond</v>
      </c>
    </row>
    <row r="30" spans="1:5" ht="13.5" customHeight="1">
      <c r="A30" s="30" t="str">
        <f>Header!B8</f>
        <v>Header - shrink taille</v>
      </c>
      <c r="B30" s="34">
        <f>Header!E8</f>
        <v>1</v>
      </c>
      <c r="C30" s="41"/>
      <c r="D30" s="31"/>
      <c r="E30" s="31" t="str">
        <f>Header!D8</f>
        <v>130px</v>
      </c>
    </row>
    <row r="31" spans="1:5">
      <c r="A31" s="67" t="str">
        <f>Header!B9</f>
        <v>Header - shrink couleur</v>
      </c>
      <c r="B31" s="68">
        <f>Header!E9</f>
        <v>1</v>
      </c>
      <c r="C31" s="69"/>
      <c r="D31" s="70"/>
      <c r="E31" s="70" t="str">
        <f>Header!D9</f>
        <v>(62, 192, 224, 0.95)</v>
      </c>
    </row>
    <row r="32" spans="1:5" ht="13.5" customHeight="1">
      <c r="A32" s="30" t="str">
        <f>Header!B10</f>
        <v>Header - ombre image + couleur</v>
      </c>
      <c r="B32" s="34">
        <f>Header!E10</f>
        <v>1</v>
      </c>
      <c r="C32" s="41"/>
      <c r="D32" s="31"/>
      <c r="E32" s="31" t="str">
        <f>Header!D10</f>
        <v xml:space="preserve">A ajouté l'ombre </v>
      </c>
    </row>
    <row r="33" spans="1:5">
      <c r="A33" s="39" t="s">
        <v>133</v>
      </c>
      <c r="B33" s="35">
        <f>SUM(B26:B32)*3</f>
        <v>21</v>
      </c>
      <c r="C33" s="38">
        <f>(B26*C26)+(B27*C27)+(B28*C28)+(B29*C29)+(B30*C30)+(B31*C31)+(B32*C32)</f>
        <v>0</v>
      </c>
      <c r="D33" s="37"/>
      <c r="E33" s="36"/>
    </row>
    <row r="34" spans="1:5" ht="14.25">
      <c r="A34" s="15" t="str">
        <f>Vignettes!B1</f>
        <v>Vignettes</v>
      </c>
      <c r="B34" s="32"/>
      <c r="C34" s="33"/>
      <c r="D34" s="15"/>
      <c r="E34" s="24"/>
    </row>
    <row r="35" spans="1:5" ht="13.5" customHeight="1">
      <c r="A35" s="30" t="str">
        <f>Vignettes!B4</f>
        <v>Contenu</v>
      </c>
      <c r="B35" s="34">
        <f>Vignettes!E4</f>
        <v>1</v>
      </c>
      <c r="C35" s="41"/>
      <c r="D35" s="31"/>
      <c r="E35" s="31" t="str">
        <f>Vignettes!D4</f>
        <v>taille 1140px</v>
      </c>
    </row>
    <row r="36" spans="1:5">
      <c r="A36" s="67" t="str">
        <f>Vignettes!B5</f>
        <v>4 vignettes au lancement de la page</v>
      </c>
      <c r="B36" s="68">
        <f>Vignettes!E5</f>
        <v>1</v>
      </c>
      <c r="C36" s="69"/>
      <c r="D36" s="70"/>
      <c r="E36" s="70" t="str">
        <f>Vignettes!D5</f>
        <v>seulement 4 vignettes sont chargées</v>
      </c>
    </row>
    <row r="37" spans="1:5" ht="13.5" customHeight="1">
      <c r="A37" s="30" t="str">
        <f>Vignettes!B6</f>
        <v>Au scroll, 2 vignettes supplémentaires se chargent</v>
      </c>
      <c r="B37" s="34">
        <f>Vignettes!E6</f>
        <v>1</v>
      </c>
      <c r="C37" s="41"/>
      <c r="D37" s="31"/>
      <c r="E37" s="31" t="str">
        <f>Vignettes!D6</f>
        <v>2 vignettes jusqu'à la fin</v>
      </c>
    </row>
    <row r="38" spans="1:5">
      <c r="A38" s="67" t="str">
        <f>Vignettes!B7</f>
        <v>Largeur de la vignette</v>
      </c>
      <c r="B38" s="68">
        <f>Vignettes!E7</f>
        <v>1</v>
      </c>
      <c r="C38" s="69"/>
      <c r="D38" s="70"/>
      <c r="E38" s="70" t="str">
        <f>Vignettes!D7</f>
        <v>400px</v>
      </c>
    </row>
    <row r="39" spans="1:5" ht="13.5" customHeight="1">
      <c r="A39" s="30" t="str">
        <f>Vignettes!B8</f>
        <v>Lien sur la vignette</v>
      </c>
      <c r="B39" s="34">
        <f>Vignettes!E8</f>
        <v>1</v>
      </c>
      <c r="C39" s="41"/>
      <c r="D39" s="31"/>
      <c r="E39" s="31" t="str">
        <f>Vignettes!D8</f>
        <v>se dirige sur le site de la station en _blank</v>
      </c>
    </row>
    <row r="40" spans="1:5">
      <c r="A40" s="67" t="str">
        <f>Vignettes!B9</f>
        <v>Bords arrdonis de la vignette (2%)</v>
      </c>
      <c r="B40" s="68">
        <f>Vignettes!E9</f>
        <v>1</v>
      </c>
      <c r="C40" s="69"/>
      <c r="D40" s="70"/>
      <c r="E40" s="70">
        <f>Vignettes!D9</f>
        <v>0.02</v>
      </c>
    </row>
    <row r="41" spans="1:5" ht="13.5" customHeight="1">
      <c r="A41" s="30" t="str">
        <f>Vignettes!B10</f>
        <v>Les images sont redimentionnés avant l'affichage</v>
      </c>
      <c r="B41" s="34">
        <f>Vignettes!E10</f>
        <v>1</v>
      </c>
      <c r="C41" s="41"/>
      <c r="D41" s="31"/>
      <c r="E41" s="31" t="str">
        <f>Vignettes!D10</f>
        <v>Soit par PHP, soit en amont</v>
      </c>
    </row>
    <row r="42" spans="1:5">
      <c r="A42" s="67" t="str">
        <f>Vignettes!B11</f>
        <v>Titre de la vignette sur fond noir 50%</v>
      </c>
      <c r="B42" s="68">
        <f>Vignettes!E11</f>
        <v>1</v>
      </c>
      <c r="C42" s="69"/>
      <c r="D42" s="70"/>
      <c r="E42" s="70" t="str">
        <f>Vignettes!D11</f>
        <v xml:space="preserve">A ajouté l'ombre </v>
      </c>
    </row>
    <row r="43" spans="1:5" ht="13.5" customHeight="1">
      <c r="A43" s="30" t="str">
        <f>Vignettes!B12</f>
        <v>Sous-titre, centré, gras et italique</v>
      </c>
      <c r="B43" s="34">
        <f>Vignettes!E12</f>
        <v>1</v>
      </c>
      <c r="C43" s="41"/>
      <c r="D43" s="31"/>
      <c r="E43" s="31" t="str">
        <f>Vignettes!D12</f>
        <v>centré, gras et italic</v>
      </c>
    </row>
    <row r="44" spans="1:5">
      <c r="A44" s="67" t="str">
        <f>Vignettes!B13</f>
        <v>Espacement de 30px entre le sous-titre et le texte</v>
      </c>
      <c r="B44" s="68">
        <f>Vignettes!E13</f>
        <v>1</v>
      </c>
      <c r="C44" s="69"/>
      <c r="D44" s="70"/>
      <c r="E44" s="70" t="str">
        <f>Vignettes!D13</f>
        <v>30px</v>
      </c>
    </row>
    <row r="45" spans="1:5" ht="13.5" customHeight="1">
      <c r="A45" s="30" t="str">
        <f>Vignettes!B14</f>
        <v>Icone - affichage uniquement des icones de la DB</v>
      </c>
      <c r="B45" s="34">
        <f>Vignettes!E14</f>
        <v>1</v>
      </c>
      <c r="C45" s="41"/>
      <c r="D45" s="31"/>
      <c r="E45" s="31" t="str">
        <f>Vignettes!D14</f>
        <v>0,1,2,3</v>
      </c>
    </row>
    <row r="46" spans="1:5">
      <c r="A46" s="67" t="str">
        <f>Vignettes!B15</f>
        <v>Disposition des icônes selon leur nombre</v>
      </c>
      <c r="B46" s="68">
        <f>Vignettes!E15</f>
        <v>1</v>
      </c>
      <c r="C46" s="69"/>
      <c r="D46" s="70"/>
      <c r="E46" s="70" t="str">
        <f>Vignettes!D15</f>
        <v>displey flex : space-around</v>
      </c>
    </row>
    <row r="47" spans="1:5" ht="13.5" customHeight="1">
      <c r="A47" s="30" t="str">
        <f>Vignettes!B16</f>
        <v>Couleur de fond</v>
      </c>
      <c r="B47" s="34">
        <f>Vignettes!E16</f>
        <v>1</v>
      </c>
      <c r="C47" s="41"/>
      <c r="D47" s="31"/>
      <c r="E47" s="31" t="str">
        <f>Vignettes!D16</f>
        <v>0, 14, 238 ou #eee</v>
      </c>
    </row>
    <row r="48" spans="1:5">
      <c r="A48" s="67" t="str">
        <f>Vignettes!B17</f>
        <v>Couleur hover de la vignette, aussi sur l'image</v>
      </c>
      <c r="B48" s="68">
        <f>Vignettes!E17</f>
        <v>1</v>
      </c>
      <c r="C48" s="69"/>
      <c r="D48" s="70"/>
      <c r="E48" s="70" t="str">
        <f>Vignettes!D17</f>
        <v>62, 192, 224 ou #47C3E1</v>
      </c>
    </row>
    <row r="49" spans="1:5">
      <c r="A49" s="39" t="s">
        <v>133</v>
      </c>
      <c r="B49" s="35">
        <f>SUM(B35:B48)*3</f>
        <v>42</v>
      </c>
      <c r="C49" s="38">
        <f>(B35*C35)+(B36*C36)+(B37*C37)+(B38*C38)+(B39*C39)+(B40*C40)+(B41*C41)+(B42*C42)+(B43*C43)+(B44*C44)+(B45*C45)+(B46*C46)+(B47*C47)+(B48*C48)</f>
        <v>0</v>
      </c>
      <c r="D49" s="37"/>
      <c r="E49" s="36"/>
    </row>
    <row r="50" spans="1:5" ht="14.25">
      <c r="A50" s="15" t="str">
        <f>Footer!B1</f>
        <v>Footer</v>
      </c>
      <c r="B50" s="32"/>
      <c r="C50" s="33"/>
      <c r="D50" s="15"/>
      <c r="E50" s="24"/>
    </row>
    <row r="51" spans="1:5" ht="13.5" customHeight="1">
      <c r="A51" s="30" t="str">
        <f>Footer!B4</f>
        <v>Footer - fond</v>
      </c>
      <c r="B51" s="34">
        <f>Footer!E4</f>
        <v>1</v>
      </c>
      <c r="C51" s="41"/>
      <c r="D51" s="31"/>
      <c r="E51" s="31" t="str">
        <f>Footer!D4</f>
        <v>62, 192, 224 ou #47C3E1</v>
      </c>
    </row>
    <row r="52" spans="1:5">
      <c r="A52" s="67" t="str">
        <f>Footer!B5</f>
        <v>Footer - titre et liste des stations</v>
      </c>
      <c r="B52" s="68">
        <f>Footer!E5</f>
        <v>1</v>
      </c>
      <c r="C52" s="69"/>
      <c r="D52" s="70"/>
      <c r="E52" s="70" t="str">
        <f>Footer!D5</f>
        <v>titre et liste des stations</v>
      </c>
    </row>
    <row r="53" spans="1:5" ht="13.5" customHeight="1">
      <c r="A53" s="30" t="str">
        <f>Footer!B6</f>
        <v>Footer - lien sur chaque station (ancre)</v>
      </c>
      <c r="B53" s="34">
        <f>Footer!E6</f>
        <v>1</v>
      </c>
      <c r="C53" s="41"/>
      <c r="D53" s="31"/>
      <c r="E53" s="31" t="str">
        <f>Footer!D6</f>
        <v>chaque vignette a un lien ancre</v>
      </c>
    </row>
    <row r="54" spans="1:5">
      <c r="A54" s="67" t="str">
        <f>Footer!B7</f>
        <v>Footer - espace en dessous (10px)</v>
      </c>
      <c r="B54" s="68">
        <f>Footer!E7</f>
        <v>1</v>
      </c>
      <c r="C54" s="69"/>
      <c r="D54" s="70"/>
      <c r="E54" s="70" t="str">
        <f>Footer!D7</f>
        <v>10px</v>
      </c>
    </row>
    <row r="55" spans="1:5" ht="13.5" customHeight="1">
      <c r="A55" s="30" t="str">
        <f>Footer!B8</f>
        <v>Footer - disposition des stations (par 5)</v>
      </c>
      <c r="B55" s="34">
        <f>Footer!E8</f>
        <v>1</v>
      </c>
      <c r="C55" s="41"/>
      <c r="D55" s="31"/>
      <c r="E55" s="31" t="str">
        <f>Footer!D8</f>
        <v>chaque vignette a un lien ancre</v>
      </c>
    </row>
    <row r="56" spans="1:5">
      <c r="A56" s="39" t="s">
        <v>133</v>
      </c>
      <c r="B56" s="35">
        <f>SUM(B51:B55)*3</f>
        <v>15</v>
      </c>
      <c r="C56" s="38">
        <f>(B51*C51)+(B52*C52)+(B53*C53)+(B54*C54)+(B55*C55)</f>
        <v>0</v>
      </c>
      <c r="D56" s="37"/>
      <c r="E56" s="36"/>
    </row>
  </sheetData>
  <mergeCells count="1">
    <mergeCell ref="B1:C1"/>
  </mergeCells>
  <dataValidations count="1">
    <dataValidation type="whole" allowBlank="1" showInputMessage="1" showErrorMessage="1" sqref="C34:C48 C3:C8 C10 C19:C23 C50:C55 C25:C32" xr:uid="{00000000-0002-0000-0700-000000000000}">
      <formula1>0</formula1>
      <formula2>3</formula2>
    </dataValidation>
  </dataValidations>
  <pageMargins left="0.70866141732283472" right="0.70866141732283472" top="0.74803149606299213" bottom="0.74803149606299213" header="0.31496062992125984" footer="0.31496062992125984"/>
  <pageSetup paperSize="9" scale="56" fitToHeight="2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1" ma:contentTypeDescription="Crée un document." ma:contentTypeScope="" ma:versionID="975ea05696e8fd48cc53bd9f55f1db7a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5a3ceb79fe6314e63603a20be51513dd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4d1a05ec-d545-49db-9347-35c2adf61735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E226F5-9424-4C56-8602-47FE94D68965}"/>
</file>

<file path=customXml/itemProps2.xml><?xml version="1.0" encoding="utf-8"?>
<ds:datastoreItem xmlns:ds="http://schemas.openxmlformats.org/officeDocument/2006/customXml" ds:itemID="{F56AB09A-5FE5-44E2-81F5-660B2C678CB2}"/>
</file>

<file path=customXml/itemProps3.xml><?xml version="1.0" encoding="utf-8"?>
<ds:datastoreItem xmlns:ds="http://schemas.openxmlformats.org/officeDocument/2006/customXml" ds:itemID="{1EFC2CD9-349F-40C2-BF1C-7F63B6FA9AB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ETML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Roberto Ferrari</dc:creator>
  <cp:keywords/>
  <dc:description/>
  <cp:lastModifiedBy>Aurélien Dévaud</cp:lastModifiedBy>
  <cp:revision/>
  <dcterms:created xsi:type="dcterms:W3CDTF">2002-01-31T16:50:36Z</dcterms:created>
  <dcterms:modified xsi:type="dcterms:W3CDTF">2022-11-04T15:26:08Z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